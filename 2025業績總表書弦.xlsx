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34166C-FA66-44BF-82E1-8814C52E1252}" xr6:coauthVersionLast="47" xr6:coauthVersionMax="47" xr10:uidLastSave="{00000000-0000-0000-0000-000000000000}"/>
  <bookViews>
    <workbookView xWindow="-26330" yWindow="3280" windowWidth="24090" windowHeight="17110" tabRatio="768" xr2:uid="{00000000-000D-0000-FFFF-FFFF00000000}"/>
  </bookViews>
  <sheets>
    <sheet name="書弦總表" sheetId="1" r:id="rId1"/>
    <sheet name="書弦對帳表" sheetId="58" r:id="rId2"/>
    <sheet name="書弦" sheetId="57" r:id="rId3"/>
    <sheet name="工作表1" sheetId="22" r:id="rId4"/>
  </sheets>
  <definedNames>
    <definedName name="_xlnm._FilterDatabase" localSheetId="0" hidden="1">書弦總表!#REF!</definedName>
  </definedNames>
  <calcPr calcId="191029"/>
</workbook>
</file>

<file path=xl/calcChain.xml><?xml version="1.0" encoding="utf-8"?>
<calcChain xmlns="http://schemas.openxmlformats.org/spreadsheetml/2006/main">
  <c r="C14" i="1" l="1"/>
  <c r="P13" i="1"/>
  <c r="D32" i="58"/>
  <c r="P12" i="1"/>
  <c r="P11" i="1"/>
  <c r="D21" i="58"/>
  <c r="D22" i="58"/>
  <c r="D17" i="58"/>
  <c r="D20" i="58"/>
  <c r="C21" i="57"/>
  <c r="C22" i="57" s="1"/>
  <c r="I21" i="57"/>
  <c r="I22" i="57" s="1"/>
  <c r="O21" i="57"/>
  <c r="O22" i="57" s="1"/>
  <c r="U21" i="57"/>
  <c r="U22" i="57" s="1"/>
  <c r="AA21" i="57"/>
  <c r="AA22" i="57" s="1"/>
  <c r="AB23" i="57" s="1"/>
  <c r="AG21" i="57"/>
  <c r="AG22" i="57" s="1"/>
  <c r="B42" i="57"/>
  <c r="B43" i="57" s="1"/>
  <c r="C42" i="57"/>
  <c r="C43" i="57" s="1"/>
  <c r="D44" i="57" s="1"/>
  <c r="I42" i="57"/>
  <c r="I43" i="57" s="1"/>
  <c r="O42" i="57"/>
  <c r="U42" i="57"/>
  <c r="U43" i="57" s="1"/>
  <c r="AA42" i="57"/>
  <c r="AA43" i="57" s="1"/>
  <c r="AG42" i="57"/>
  <c r="AG43" i="57" s="1"/>
  <c r="I45" i="57"/>
  <c r="D3" i="58"/>
  <c r="E3" i="58" s="1"/>
  <c r="E6" i="58" s="1"/>
  <c r="E7" i="58" s="1"/>
  <c r="E10" i="58" s="1"/>
  <c r="E11" i="58" s="1"/>
  <c r="E12" i="58" s="1"/>
  <c r="E13" i="58" s="1"/>
  <c r="E16" i="58" s="1"/>
  <c r="E17" i="58" s="1"/>
  <c r="E20" i="58" s="1"/>
  <c r="E21" i="58" s="1"/>
  <c r="E22" i="58" s="1"/>
  <c r="E25" i="58" s="1"/>
  <c r="E26" i="58" s="1"/>
  <c r="E27" i="58" s="1"/>
  <c r="E28" i="58" s="1"/>
  <c r="E31" i="58" s="1"/>
  <c r="E32" i="58" s="1"/>
  <c r="E33" i="58" s="1"/>
  <c r="E34" i="58" s="1"/>
  <c r="D6" i="58"/>
  <c r="D10" i="58"/>
  <c r="D12" i="58"/>
  <c r="C45" i="57"/>
  <c r="AB2" i="57" s="1"/>
  <c r="P2" i="1"/>
  <c r="P4" i="1"/>
  <c r="P5" i="1"/>
  <c r="P6" i="1"/>
  <c r="P7" i="1"/>
  <c r="P8" i="1"/>
  <c r="P9" i="1"/>
  <c r="P10" i="1"/>
  <c r="P3" i="1"/>
  <c r="AG24" i="57"/>
  <c r="O23" i="57"/>
  <c r="O24" i="57"/>
  <c r="AA23" i="57"/>
  <c r="AA24" i="57"/>
  <c r="I23" i="57"/>
  <c r="I24" i="57" s="1"/>
  <c r="AA2" i="57" l="1"/>
  <c r="AC2" i="57" s="1"/>
  <c r="J44" i="57"/>
  <c r="AH23" i="57"/>
  <c r="P23" i="57"/>
  <c r="J23" i="57"/>
  <c r="AL42" i="57"/>
  <c r="O43" i="57"/>
  <c r="AL21" i="57"/>
  <c r="I2" i="57"/>
</calcChain>
</file>

<file path=xl/sharedStrings.xml><?xml version="1.0" encoding="utf-8"?>
<sst xmlns="http://schemas.openxmlformats.org/spreadsheetml/2006/main" count="335" uniqueCount="140">
  <si>
    <t>No.</t>
  </si>
  <si>
    <t>姓名</t>
  </si>
  <si>
    <t>金額</t>
  </si>
  <si>
    <t>%</t>
  </si>
  <si>
    <t>生效日</t>
  </si>
  <si>
    <t>到期日</t>
  </si>
  <si>
    <t>盈餘1</t>
    <phoneticPr fontId="0" type="Hiragana"/>
  </si>
  <si>
    <t>盈餘2</t>
  </si>
  <si>
    <t>盈餘3</t>
  </si>
  <si>
    <t>盈餘4</t>
  </si>
  <si>
    <t>盈餘5</t>
  </si>
  <si>
    <t>盈餘6</t>
  </si>
  <si>
    <t>續</t>
    <phoneticPr fontId="0" type="Hiragana"/>
  </si>
  <si>
    <t>新</t>
    <phoneticPr fontId="0" type="Hiragana"/>
  </si>
  <si>
    <t>姓名：</t>
  </si>
  <si>
    <t>業    績    記    錄    表</t>
    <phoneticPr fontId="0" type="Hiragana"/>
  </si>
  <si>
    <t>一月</t>
  </si>
  <si>
    <t>二月</t>
  </si>
  <si>
    <t>三月</t>
  </si>
  <si>
    <t>四月</t>
  </si>
  <si>
    <t>五月</t>
  </si>
  <si>
    <t>六月</t>
  </si>
  <si>
    <t>日期</t>
  </si>
  <si>
    <t>半</t>
  </si>
  <si>
    <t>年</t>
  </si>
  <si>
    <t>％</t>
  </si>
  <si>
    <t>七月</t>
  </si>
  <si>
    <t>八月</t>
  </si>
  <si>
    <t>九月</t>
  </si>
  <si>
    <t>十月</t>
  </si>
  <si>
    <t>十一月</t>
  </si>
  <si>
    <t>十二月</t>
  </si>
  <si>
    <t>佣金</t>
    <phoneticPr fontId="0" type="Hiragana"/>
  </si>
  <si>
    <t>合約日</t>
    <phoneticPr fontId="0" type="Hiragana"/>
  </si>
  <si>
    <t>對帳日</t>
    <phoneticPr fontId="0" type="Hiragana"/>
  </si>
  <si>
    <t>客戶</t>
    <phoneticPr fontId="0" type="Hiragana"/>
  </si>
  <si>
    <t>金額</t>
    <phoneticPr fontId="0" type="Hiragana"/>
  </si>
  <si>
    <t>累計結餘</t>
    <phoneticPr fontId="0" type="Hiragana"/>
  </si>
  <si>
    <t>備註</t>
    <phoneticPr fontId="0" type="Hiragana"/>
  </si>
  <si>
    <t>對帳單</t>
    <phoneticPr fontId="0" type="Hiragana"/>
  </si>
  <si>
    <t>本週業績</t>
    <phoneticPr fontId="0" type="Hiragana"/>
  </si>
  <si>
    <t>超2</t>
    <phoneticPr fontId="0" type="Hiragana"/>
  </si>
  <si>
    <t>娣1（哲1）</t>
    <phoneticPr fontId="0" type="Hiragana"/>
  </si>
  <si>
    <t>娣3（哲2）</t>
    <phoneticPr fontId="0" type="Hiragana"/>
  </si>
  <si>
    <t>娣5（哲3）</t>
    <phoneticPr fontId="0" type="Hiragana"/>
  </si>
  <si>
    <t>娣2（豪1）</t>
    <phoneticPr fontId="0" type="Hiragana"/>
  </si>
  <si>
    <t>娣4（豪2）</t>
    <phoneticPr fontId="0" type="Hiragana"/>
  </si>
  <si>
    <t>娣6（豪3）</t>
    <phoneticPr fontId="0" type="Hiragana"/>
  </si>
  <si>
    <t>超1</t>
    <phoneticPr fontId="0" type="Hiragana"/>
  </si>
  <si>
    <t>張書弦</t>
    <phoneticPr fontId="0" type="Hiragana"/>
  </si>
  <si>
    <t>新</t>
  </si>
  <si>
    <t>本週業績</t>
  </si>
  <si>
    <t>現金</t>
  </si>
  <si>
    <t>年專</t>
    <phoneticPr fontId="0" type="Hiragana"/>
  </si>
  <si>
    <t>年專獎勵</t>
    <phoneticPr fontId="0" type="Hiragana"/>
  </si>
  <si>
    <t>張書弦</t>
  </si>
  <si>
    <t>其他獎金</t>
    <phoneticPr fontId="0" type="Hiragana"/>
  </si>
  <si>
    <t>年收總計</t>
    <phoneticPr fontId="0" type="Hiragana"/>
  </si>
  <si>
    <t>專約加發1%</t>
    <phoneticPr fontId="0" type="Hiragana"/>
  </si>
  <si>
    <t>0709週佣</t>
    <phoneticPr fontId="0" type="Hiragana"/>
  </si>
  <si>
    <t>20250716累件</t>
    <phoneticPr fontId="0" type="Hiragana"/>
  </si>
  <si>
    <t>主任</t>
    <phoneticPr fontId="0" type="Hiragana"/>
  </si>
  <si>
    <t>陳羿瑾</t>
    <phoneticPr fontId="0" type="Hiragana"/>
  </si>
  <si>
    <t>書弦新客戶年專2%</t>
    <phoneticPr fontId="0" type="Hiragana"/>
  </si>
  <si>
    <t>書弦</t>
    <phoneticPr fontId="0" type="Hiragana"/>
  </si>
  <si>
    <t>0910-221624</t>
  </si>
  <si>
    <t>0926-679375</t>
  </si>
  <si>
    <t>0981-565102</t>
  </si>
  <si>
    <t>7/23週佣</t>
    <phoneticPr fontId="2" type="noConversion"/>
  </si>
  <si>
    <t>新</t>
    <phoneticPr fontId="2" type="noConversion"/>
  </si>
  <si>
    <t>原7/17</t>
  </si>
  <si>
    <t>本週業績 年約150</t>
    <phoneticPr fontId="2" type="noConversion"/>
  </si>
  <si>
    <t>to 慧慎</t>
    <phoneticPr fontId="2" type="noConversion"/>
  </si>
  <si>
    <t>現金</t>
    <phoneticPr fontId="2" type="noConversion"/>
  </si>
  <si>
    <t>7/30週佣</t>
    <phoneticPr fontId="2" type="noConversion"/>
  </si>
  <si>
    <t>8月盈餘</t>
    <phoneticPr fontId="0" type="Hiragana"/>
  </si>
  <si>
    <t>八月份弦哥個人盈餘</t>
    <phoneticPr fontId="2" type="noConversion"/>
  </si>
  <si>
    <t>to 書弦</t>
    <phoneticPr fontId="2" type="noConversion"/>
  </si>
  <si>
    <t>0813週佣</t>
    <phoneticPr fontId="2" type="noConversion"/>
  </si>
  <si>
    <r>
      <rPr>
        <sz val="14"/>
        <color rgb="FF000000"/>
        <rFont val="新細明體"/>
        <family val="1"/>
        <charset val="136"/>
        <scheme val="minor"/>
      </rPr>
      <t>姓名</t>
    </r>
  </si>
  <si>
    <r>
      <rPr>
        <sz val="14"/>
        <color rgb="FF000000"/>
        <rFont val="新細明體"/>
        <family val="1"/>
        <charset val="136"/>
        <scheme val="minor"/>
      </rPr>
      <t>金額</t>
    </r>
  </si>
  <si>
    <r>
      <rPr>
        <sz val="14"/>
        <color rgb="FF000000"/>
        <rFont val="新細明體"/>
        <family val="1"/>
        <charset val="136"/>
        <scheme val="minor"/>
      </rPr>
      <t>類別</t>
    </r>
  </si>
  <si>
    <r>
      <rPr>
        <sz val="14"/>
        <color rgb="FF000000"/>
        <rFont val="新細明體"/>
        <family val="1"/>
        <charset val="136"/>
        <scheme val="minor"/>
      </rPr>
      <t>生效日</t>
    </r>
  </si>
  <si>
    <r>
      <rPr>
        <sz val="14"/>
        <color rgb="FF000000"/>
        <rFont val="新細明體"/>
        <family val="1"/>
        <charset val="136"/>
        <scheme val="minor"/>
      </rPr>
      <t>到期日</t>
    </r>
  </si>
  <si>
    <r>
      <rPr>
        <sz val="14"/>
        <color rgb="FF000000"/>
        <rFont val="新細明體"/>
        <family val="1"/>
        <charset val="136"/>
        <scheme val="minor"/>
      </rPr>
      <t>盈餘</t>
    </r>
    <r>
      <rPr>
        <sz val="14"/>
        <color rgb="FF000000"/>
        <rFont val="新細明體 (本文)_x0000_"/>
        <family val="1"/>
        <charset val="136"/>
      </rPr>
      <t>1</t>
    </r>
  </si>
  <si>
    <r>
      <rPr>
        <sz val="14"/>
        <color rgb="FF000000"/>
        <rFont val="新細明體"/>
        <family val="1"/>
        <charset val="136"/>
        <scheme val="minor"/>
      </rPr>
      <t>盈餘</t>
    </r>
    <r>
      <rPr>
        <sz val="14"/>
        <color rgb="FF000000"/>
        <rFont val="新細明體 (本文)_x0000_"/>
        <family val="1"/>
        <charset val="136"/>
      </rPr>
      <t>2</t>
    </r>
  </si>
  <si>
    <r>
      <rPr>
        <sz val="14"/>
        <color rgb="FF000000"/>
        <rFont val="新細明體"/>
        <family val="1"/>
        <charset val="136"/>
        <scheme val="minor"/>
      </rPr>
      <t>盈餘</t>
    </r>
    <r>
      <rPr>
        <sz val="14"/>
        <color rgb="FF000000"/>
        <rFont val="新細明體 (本文)_x0000_"/>
        <family val="1"/>
        <charset val="136"/>
      </rPr>
      <t>3</t>
    </r>
  </si>
  <si>
    <r>
      <rPr>
        <sz val="14"/>
        <color rgb="FF000000"/>
        <rFont val="新細明體"/>
        <family val="1"/>
        <charset val="136"/>
        <scheme val="minor"/>
      </rPr>
      <t>盈餘</t>
    </r>
    <r>
      <rPr>
        <sz val="14"/>
        <color rgb="FF000000"/>
        <rFont val="新細明體 (本文)_x0000_"/>
        <family val="1"/>
        <charset val="136"/>
      </rPr>
      <t>4</t>
    </r>
  </si>
  <si>
    <r>
      <rPr>
        <sz val="14"/>
        <color rgb="FF000000"/>
        <rFont val="新細明體"/>
        <family val="1"/>
        <charset val="136"/>
        <scheme val="minor"/>
      </rPr>
      <t>盈餘</t>
    </r>
    <r>
      <rPr>
        <sz val="14"/>
        <color rgb="FF000000"/>
        <rFont val="新細明體 (本文)_x0000_"/>
        <family val="1"/>
        <charset val="136"/>
      </rPr>
      <t>5</t>
    </r>
  </si>
  <si>
    <r>
      <rPr>
        <sz val="14"/>
        <color rgb="FF000000"/>
        <rFont val="新細明體"/>
        <family val="1"/>
        <charset val="136"/>
        <scheme val="minor"/>
      </rPr>
      <t>盈餘</t>
    </r>
    <r>
      <rPr>
        <sz val="14"/>
        <color rgb="FF000000"/>
        <rFont val="新細明體 (本文)_x0000_"/>
        <family val="1"/>
        <charset val="136"/>
      </rPr>
      <t>6</t>
    </r>
  </si>
  <si>
    <r>
      <rPr>
        <sz val="14"/>
        <color rgb="FF000000"/>
        <rFont val="新細明體"/>
        <family val="1"/>
        <charset val="136"/>
        <scheme val="minor"/>
      </rPr>
      <t>新</t>
    </r>
    <r>
      <rPr>
        <sz val="14"/>
        <color rgb="FF000000"/>
        <rFont val="新細明體 (本文)_x0000_"/>
        <family val="1"/>
        <charset val="136"/>
      </rPr>
      <t>/</t>
    </r>
    <r>
      <rPr>
        <sz val="14"/>
        <color rgb="FF000000"/>
        <rFont val="新細明體"/>
        <family val="1"/>
        <charset val="136"/>
        <scheme val="minor"/>
      </rPr>
      <t>續</t>
    </r>
  </si>
  <si>
    <r>
      <rPr>
        <sz val="14"/>
        <color rgb="FF000000"/>
        <rFont val="新細明體"/>
        <family val="1"/>
        <charset val="136"/>
        <scheme val="minor"/>
      </rPr>
      <t>次數</t>
    </r>
  </si>
  <si>
    <r>
      <rPr>
        <sz val="14"/>
        <color rgb="FF000000"/>
        <rFont val="新細明體"/>
        <family val="1"/>
        <charset val="136"/>
        <scheme val="minor"/>
      </rPr>
      <t>累積</t>
    </r>
  </si>
  <si>
    <r>
      <rPr>
        <sz val="14"/>
        <color rgb="FF000000"/>
        <rFont val="新細明體"/>
        <family val="1"/>
        <charset val="136"/>
        <scheme val="minor"/>
      </rPr>
      <t>初次</t>
    </r>
  </si>
  <si>
    <r>
      <rPr>
        <sz val="14"/>
        <color rgb="FF000000"/>
        <rFont val="新細明體"/>
        <family val="1"/>
        <charset val="136"/>
        <scheme val="minor"/>
      </rPr>
      <t>身份證</t>
    </r>
  </si>
  <si>
    <r>
      <rPr>
        <sz val="14"/>
        <color rgb="FF000000"/>
        <rFont val="新細明體"/>
        <family val="1"/>
        <charset val="136"/>
        <scheme val="minor"/>
      </rPr>
      <t>生日</t>
    </r>
  </si>
  <si>
    <r>
      <rPr>
        <sz val="14"/>
        <color rgb="FF000000"/>
        <rFont val="新細明體"/>
        <family val="1"/>
        <charset val="136"/>
        <scheme val="minor"/>
      </rPr>
      <t>手機</t>
    </r>
  </si>
  <si>
    <r>
      <rPr>
        <sz val="14"/>
        <color rgb="FF000000"/>
        <rFont val="新細明體"/>
        <family val="1"/>
        <charset val="136"/>
        <scheme val="minor"/>
      </rPr>
      <t>銀行</t>
    </r>
  </si>
  <si>
    <r>
      <rPr>
        <sz val="14"/>
        <color rgb="FF000000"/>
        <rFont val="新細明體"/>
        <family val="1"/>
        <charset val="136"/>
        <scheme val="minor"/>
      </rPr>
      <t>分行</t>
    </r>
  </si>
  <si>
    <r>
      <rPr>
        <sz val="14"/>
        <color rgb="FF000000"/>
        <rFont val="新細明體"/>
        <family val="1"/>
        <charset val="136"/>
        <scheme val="minor"/>
      </rPr>
      <t>帳號</t>
    </r>
  </si>
  <si>
    <r>
      <rPr>
        <sz val="14"/>
        <color rgb="FF000000"/>
        <rFont val="新細明體"/>
        <family val="1"/>
        <charset val="136"/>
        <scheme val="minor"/>
      </rPr>
      <t>地址</t>
    </r>
  </si>
  <si>
    <r>
      <rPr>
        <sz val="14"/>
        <color rgb="FF000000"/>
        <rFont val="新細明體"/>
        <family val="1"/>
        <charset val="136"/>
        <scheme val="minor"/>
      </rPr>
      <t>備註</t>
    </r>
  </si>
  <si>
    <r>
      <rPr>
        <sz val="14"/>
        <color rgb="FF000000"/>
        <rFont val="新細明體"/>
        <family val="1"/>
        <charset val="136"/>
        <scheme val="minor"/>
      </rPr>
      <t>緊急連絡人</t>
    </r>
  </si>
  <si>
    <r>
      <rPr>
        <sz val="14"/>
        <color rgb="FF000000"/>
        <rFont val="新細明體"/>
        <family val="1"/>
        <charset val="136"/>
        <scheme val="minor"/>
      </rPr>
      <t>連絡人電話</t>
    </r>
  </si>
  <si>
    <r>
      <rPr>
        <sz val="14"/>
        <color rgb="FF000000"/>
        <rFont val="新細明體"/>
        <family val="1"/>
        <charset val="136"/>
        <scheme val="minor"/>
      </rPr>
      <t>半年約</t>
    </r>
  </si>
  <si>
    <r>
      <rPr>
        <sz val="14"/>
        <color rgb="FF000000"/>
        <rFont val="新細明體"/>
        <family val="1"/>
        <charset val="136"/>
        <scheme val="minor"/>
      </rPr>
      <t>續</t>
    </r>
  </si>
  <si>
    <r>
      <rPr>
        <sz val="14"/>
        <color rgb="FF000000"/>
        <rFont val="新細明體"/>
        <family val="1"/>
        <charset val="136"/>
        <scheme val="minor"/>
      </rPr>
      <t>新</t>
    </r>
    <phoneticPr fontId="2" type="noConversion"/>
  </si>
  <si>
    <r>
      <rPr>
        <sz val="14"/>
        <color rgb="FF000000"/>
        <rFont val="新細明體"/>
        <family val="1"/>
        <charset val="136"/>
        <scheme val="minor"/>
      </rPr>
      <t>年約</t>
    </r>
  </si>
  <si>
    <r>
      <t xml:space="preserve"> </t>
    </r>
    <r>
      <rPr>
        <sz val="14"/>
        <color rgb="FF000000"/>
        <rFont val="新細明體"/>
        <family val="1"/>
        <charset val="136"/>
        <scheme val="minor"/>
      </rPr>
      <t>續</t>
    </r>
  </si>
  <si>
    <r>
      <rPr>
        <sz val="14"/>
        <color rgb="FF000000"/>
        <rFont val="新細明體"/>
        <family val="1"/>
        <charset val="136"/>
        <scheme val="minor"/>
      </rPr>
      <t>新</t>
    </r>
  </si>
  <si>
    <r>
      <rPr>
        <sz val="14"/>
        <color rgb="FF000000"/>
        <rFont val="新細明體"/>
        <family val="1"/>
        <charset val="136"/>
        <scheme val="minor"/>
      </rPr>
      <t>弦</t>
    </r>
    <r>
      <rPr>
        <sz val="14"/>
        <color rgb="FF000000"/>
        <rFont val="新細明體 (本文)_x0000_"/>
        <family val="1"/>
        <charset val="136"/>
      </rPr>
      <t>1</t>
    </r>
  </si>
  <si>
    <r>
      <rPr>
        <sz val="14"/>
        <color rgb="FF000000"/>
        <rFont val="新細明體"/>
        <family val="1"/>
        <charset val="136"/>
        <scheme val="minor"/>
      </rPr>
      <t>陳羿瑾</t>
    </r>
    <r>
      <rPr>
        <sz val="14"/>
        <color rgb="FF000000"/>
        <rFont val="新細明體 (本文)_x0000_"/>
        <family val="1"/>
        <charset val="136"/>
      </rPr>
      <t>1</t>
    </r>
    <phoneticPr fontId="2" type="noConversion"/>
  </si>
  <si>
    <r>
      <rPr>
        <sz val="14"/>
        <color rgb="FF000000"/>
        <rFont val="新細明體"/>
        <family val="1"/>
        <charset val="136"/>
        <scheme val="minor"/>
      </rPr>
      <t>張書弦</t>
    </r>
    <phoneticPr fontId="2" type="noConversion"/>
  </si>
  <si>
    <r>
      <rPr>
        <sz val="14"/>
        <color rgb="FF000000"/>
        <rFont val="新細明體"/>
        <family val="1"/>
        <charset val="136"/>
        <scheme val="minor"/>
      </rPr>
      <t>弦</t>
    </r>
    <r>
      <rPr>
        <sz val="14"/>
        <color rgb="FF000000"/>
        <rFont val="新細明體 (本文)_x0000_"/>
        <family val="1"/>
        <charset val="136"/>
      </rPr>
      <t>2</t>
    </r>
    <phoneticPr fontId="2" type="noConversion"/>
  </si>
  <si>
    <r>
      <rPr>
        <sz val="14"/>
        <color rgb="FF000000"/>
        <rFont val="新細明體"/>
        <family val="1"/>
        <charset val="136"/>
        <scheme val="minor"/>
      </rPr>
      <t>張書弦</t>
    </r>
    <r>
      <rPr>
        <sz val="14"/>
        <color rgb="FF000000"/>
        <rFont val="新細明體 (本文)_x0000_"/>
        <family val="1"/>
        <charset val="136"/>
      </rPr>
      <t>3</t>
    </r>
  </si>
  <si>
    <r>
      <rPr>
        <sz val="14"/>
        <color rgb="FF000000"/>
        <rFont val="新細明體"/>
        <family val="1"/>
        <charset val="136"/>
        <scheme val="minor"/>
      </rPr>
      <t>張書弦</t>
    </r>
    <r>
      <rPr>
        <sz val="14"/>
        <color rgb="FF000000"/>
        <rFont val="新細明體 (本文)_x0000_"/>
        <family val="1"/>
        <charset val="136"/>
      </rPr>
      <t>2</t>
    </r>
  </si>
  <si>
    <r>
      <rPr>
        <sz val="14"/>
        <color rgb="FF000000"/>
        <rFont val="新細明體"/>
        <family val="1"/>
        <charset val="136"/>
        <scheme val="minor"/>
      </rPr>
      <t>張書弦</t>
    </r>
    <r>
      <rPr>
        <sz val="14"/>
        <color rgb="FF000000"/>
        <rFont val="新細明體 (本文)_x0000_"/>
        <family val="1"/>
        <charset val="136"/>
      </rPr>
      <t>4</t>
    </r>
  </si>
  <si>
    <r>
      <rPr>
        <sz val="14"/>
        <color rgb="FF000000"/>
        <rFont val="新細明體"/>
        <family val="1"/>
        <charset val="136"/>
        <scheme val="minor"/>
      </rPr>
      <t>張書弦</t>
    </r>
    <r>
      <rPr>
        <sz val="14"/>
        <color rgb="FF000000"/>
        <rFont val="新細明體 (本文)_x0000_"/>
        <family val="1"/>
        <charset val="136"/>
      </rPr>
      <t>6</t>
    </r>
  </si>
  <si>
    <r>
      <rPr>
        <sz val="14"/>
        <color rgb="FF000000"/>
        <rFont val="新細明體"/>
        <family val="1"/>
        <charset val="136"/>
        <scheme val="minor"/>
      </rPr>
      <t>張書弦</t>
    </r>
    <r>
      <rPr>
        <sz val="14"/>
        <color rgb="FF000000"/>
        <rFont val="新細明體 (本文)_x0000_"/>
        <family val="1"/>
        <charset val="136"/>
      </rPr>
      <t>7</t>
    </r>
  </si>
  <si>
    <r>
      <rPr>
        <sz val="14"/>
        <color rgb="FF000000"/>
        <rFont val="新細明體"/>
        <family val="1"/>
        <charset val="136"/>
        <scheme val="minor"/>
      </rPr>
      <t>張書弦</t>
    </r>
    <r>
      <rPr>
        <sz val="14"/>
        <color rgb="FF000000"/>
        <rFont val="新細明體 (本文)_x0000_"/>
        <family val="1"/>
        <charset val="136"/>
      </rPr>
      <t>1</t>
    </r>
  </si>
  <si>
    <r>
      <rPr>
        <sz val="14"/>
        <color rgb="FF000000"/>
        <rFont val="新細明體"/>
        <family val="1"/>
        <charset val="136"/>
        <scheme val="minor"/>
      </rPr>
      <t>張書弦</t>
    </r>
    <r>
      <rPr>
        <sz val="14"/>
        <color rgb="FF000000"/>
        <rFont val="新細明體 (本文)_x0000_"/>
        <family val="1"/>
        <charset val="136"/>
      </rPr>
      <t>5</t>
    </r>
  </si>
  <si>
    <r>
      <rPr>
        <sz val="14"/>
        <color rgb="FF000000"/>
        <rFont val="新細明體"/>
        <family val="1"/>
        <charset val="136"/>
        <scheme val="minor"/>
      </rPr>
      <t>慎</t>
    </r>
    <r>
      <rPr>
        <sz val="14"/>
        <color rgb="FF000000"/>
        <rFont val="新細明體 (本文)_x0000_"/>
        <family val="1"/>
        <charset val="136"/>
      </rPr>
      <t>36</t>
    </r>
  </si>
  <si>
    <r>
      <rPr>
        <sz val="14"/>
        <color rgb="FF000000"/>
        <rFont val="新細明體"/>
        <family val="1"/>
        <charset val="136"/>
        <scheme val="minor"/>
      </rPr>
      <t>鄒鈺鈴</t>
    </r>
  </si>
  <si>
    <r>
      <rPr>
        <sz val="14"/>
        <color rgb="FF000000"/>
        <rFont val="新細明體"/>
        <family val="1"/>
        <charset val="136"/>
        <scheme val="minor"/>
      </rPr>
      <t>鄒國勳</t>
    </r>
  </si>
  <si>
    <t>0820週佣</t>
    <phoneticPr fontId="2" type="noConversion"/>
  </si>
  <si>
    <t>呂盈慧</t>
    <phoneticPr fontId="2" type="noConversion"/>
  </si>
  <si>
    <t>書弦新客戶</t>
    <phoneticPr fontId="2" type="noConversion"/>
  </si>
  <si>
    <t>to 慧慎</t>
  </si>
  <si>
    <t>9月盈餘</t>
    <phoneticPr fontId="2" type="noConversion"/>
  </si>
  <si>
    <t>自加減帳扣除</t>
    <phoneticPr fontId="2" type="noConversion"/>
  </si>
  <si>
    <t>弦3</t>
    <phoneticPr fontId="2" type="noConversion"/>
  </si>
  <si>
    <t>陳昭元/林靜華</t>
  </si>
  <si>
    <t>0915-206062/0906-839678</t>
  </si>
  <si>
    <t>9/17週佣</t>
    <phoneticPr fontId="2" type="noConversion"/>
  </si>
  <si>
    <t>林炳宏</t>
  </si>
  <si>
    <t>弦4</t>
  </si>
  <si>
    <t>林炳宏</t>
    <phoneticPr fontId="2" type="noConversion"/>
  </si>
  <si>
    <t>陳家驊</t>
    <phoneticPr fontId="2" type="noConversion"/>
  </si>
  <si>
    <t>林明慧</t>
    <phoneticPr fontId="2" type="noConversion"/>
  </si>
  <si>
    <t>0939-414-500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</si>
</sst>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/mm/dd"/>
    <numFmt numFmtId="177" formatCode="m/d;@"/>
    <numFmt numFmtId="178" formatCode="m&quot;月&quot;d&quot;日&quot;"/>
    <numFmt numFmtId="179" formatCode="0.00_ "/>
    <numFmt numFmtId="180" formatCode="0.0_);[Red]\(0.0\)"/>
    <numFmt numFmtId="181" formatCode="0_ "/>
    <numFmt numFmtId="182" formatCode="0.00_);[Red]\(0.00\)"/>
    <numFmt numFmtId="183" formatCode="0.000_ "/>
    <numFmt numFmtId="184" formatCode="0_);[Red]\(0\)"/>
    <numFmt numFmtId="185" formatCode="0.000"/>
  </numFmts>
  <fonts count="3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rgb="FF00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7030A0"/>
      <name val="新細明體"/>
      <family val="1"/>
      <charset val="136"/>
      <scheme val="minor"/>
    </font>
    <font>
      <sz val="12"/>
      <color rgb="FF00B050"/>
      <name val="新細明體"/>
      <family val="1"/>
      <charset val="136"/>
      <scheme val="minor"/>
    </font>
    <font>
      <b/>
      <sz val="12"/>
      <color rgb="FF00B050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b/>
      <sz val="12"/>
      <color rgb="FF7030A0"/>
      <name val="新細明體"/>
      <family val="1"/>
      <charset val="136"/>
      <scheme val="minor"/>
    </font>
    <font>
      <b/>
      <sz val="12"/>
      <color rgb="FF00B0F0"/>
      <name val="新細明體"/>
      <family val="1"/>
      <charset val="136"/>
      <scheme val="minor"/>
    </font>
    <font>
      <sz val="12"/>
      <color theme="5"/>
      <name val="新細明體"/>
      <family val="1"/>
      <charset val="136"/>
      <scheme val="minor"/>
    </font>
    <font>
      <b/>
      <sz val="12"/>
      <color theme="5"/>
      <name val="新細明體"/>
      <family val="1"/>
      <charset val="136"/>
      <scheme val="minor"/>
    </font>
    <font>
      <b/>
      <sz val="12"/>
      <color rgb="FF002060"/>
      <name val="新細明體"/>
      <family val="1"/>
      <charset val="136"/>
      <scheme val="minor"/>
    </font>
    <font>
      <sz val="12"/>
      <color theme="5" tint="-0.499984740745262"/>
      <name val="新細明體"/>
      <family val="1"/>
      <charset val="136"/>
      <scheme val="minor"/>
    </font>
    <font>
      <b/>
      <sz val="12"/>
      <color rgb="FF833C0C"/>
      <name val="新細明體"/>
      <family val="1"/>
      <charset val="136"/>
      <scheme val="minor"/>
    </font>
    <font>
      <sz val="14"/>
      <color theme="1"/>
      <name val="新細明體 (本文)_x0000_"/>
      <charset val="136"/>
    </font>
    <font>
      <sz val="14"/>
      <color rgb="FF000000"/>
      <name val="新細明體 (本文)_x0000_"/>
      <family val="1"/>
      <charset val="136"/>
    </font>
    <font>
      <sz val="14"/>
      <name val="新細明體 (本文)_x0000_"/>
      <family val="1"/>
      <charset val="136"/>
    </font>
    <font>
      <sz val="14"/>
      <color rgb="FF7030A0"/>
      <name val="新細明體 (本文)_x0000_"/>
      <family val="1"/>
      <charset val="136"/>
    </font>
    <font>
      <sz val="14"/>
      <color rgb="FF000000"/>
      <name val="新細明體 (本文)"/>
      <family val="1"/>
      <charset val="136"/>
    </font>
    <font>
      <sz val="14"/>
      <color rgb="FF000000"/>
      <name val="新細明體 (本文)"/>
      <family val="1"/>
      <charset val="136"/>
    </font>
  </fonts>
  <fills count="29">
    <fill>
      <patternFill patternType="none"/>
    </fill>
    <fill>
      <patternFill patternType="gray125"/>
    </fill>
    <fill>
      <patternFill patternType="solid">
        <fgColor rgb="FFFFFF99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C8FFA2"/>
        <bgColor indexed="64"/>
      </patternFill>
    </fill>
    <fill>
      <patternFill patternType="solid">
        <fgColor rgb="FFFECC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8FFA2"/>
        <bgColor rgb="FFFFFFFF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8FFA2"/>
        <bgColor rgb="FF000000"/>
      </patternFill>
    </fill>
    <fill>
      <patternFill patternType="solid">
        <fgColor rgb="FFFFE7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D8FB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E7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3EBF0"/>
        <bgColor indexed="64"/>
      </patternFill>
    </fill>
    <fill>
      <patternFill patternType="solid">
        <fgColor rgb="FFFFE7FA"/>
        <bgColor rgb="FF000000"/>
      </patternFill>
    </fill>
    <fill>
      <patternFill patternType="solid">
        <fgColor rgb="FFFCE4D6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76" fontId="8" fillId="11" borderId="1" xfId="0" applyNumberFormat="1" applyFont="1" applyFill="1" applyBorder="1" applyAlignment="1">
      <alignment horizontal="center" vertical="center"/>
    </xf>
    <xf numFmtId="177" fontId="8" fillId="11" borderId="1" xfId="0" applyNumberFormat="1" applyFont="1" applyFill="1" applyBorder="1" applyAlignment="1">
      <alignment horizontal="center" vertical="center"/>
    </xf>
    <xf numFmtId="177" fontId="8" fillId="6" borderId="1" xfId="0" applyNumberFormat="1" applyFont="1" applyFill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left" vertical="center"/>
    </xf>
    <xf numFmtId="0" fontId="9" fillId="0" borderId="3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left" vertical="center"/>
    </xf>
    <xf numFmtId="177" fontId="10" fillId="7" borderId="4" xfId="0" applyNumberFormat="1" applyFont="1" applyFill="1" applyBorder="1" applyAlignment="1">
      <alignment horizontal="center" vertical="center"/>
    </xf>
    <xf numFmtId="177" fontId="10" fillId="8" borderId="4" xfId="0" applyNumberFormat="1" applyFont="1" applyFill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8" fillId="9" borderId="3" xfId="0" applyNumberFormat="1" applyFont="1" applyFill="1" applyBorder="1" applyAlignment="1">
      <alignment horizontal="center" vertical="center"/>
    </xf>
    <xf numFmtId="177" fontId="8" fillId="8" borderId="3" xfId="0" applyNumberFormat="1" applyFont="1" applyFill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7" fontId="8" fillId="7" borderId="3" xfId="0" applyNumberFormat="1" applyFont="1" applyFill="1" applyBorder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  <xf numFmtId="177" fontId="10" fillId="7" borderId="3" xfId="0" applyNumberFormat="1" applyFont="1" applyFill="1" applyBorder="1" applyAlignment="1">
      <alignment horizontal="center" vertical="center"/>
    </xf>
    <xf numFmtId="177" fontId="10" fillId="8" borderId="3" xfId="0" applyNumberFormat="1" applyFont="1" applyFill="1" applyBorder="1" applyAlignment="1">
      <alignment horizontal="center" vertical="center"/>
    </xf>
    <xf numFmtId="176" fontId="9" fillId="9" borderId="3" xfId="0" applyNumberFormat="1" applyFont="1" applyFill="1" applyBorder="1" applyAlignment="1">
      <alignment horizontal="center" vertical="center"/>
    </xf>
    <xf numFmtId="176" fontId="8" fillId="9" borderId="3" xfId="0" applyNumberFormat="1" applyFont="1" applyFill="1" applyBorder="1" applyAlignment="1">
      <alignment horizontal="left" vertical="center"/>
    </xf>
    <xf numFmtId="177" fontId="10" fillId="9" borderId="4" xfId="0" applyNumberFormat="1" applyFont="1" applyFill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  <xf numFmtId="177" fontId="3" fillId="8" borderId="3" xfId="0" applyNumberFormat="1" applyFont="1" applyFill="1" applyBorder="1" applyAlignment="1">
      <alignment horizontal="center" vertical="center"/>
    </xf>
    <xf numFmtId="177" fontId="3" fillId="0" borderId="17" xfId="0" applyNumberFormat="1" applyFont="1" applyBorder="1" applyAlignment="1">
      <alignment horizontal="center" vertical="center"/>
    </xf>
    <xf numFmtId="177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>
      <alignment vertical="center"/>
    </xf>
    <xf numFmtId="177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0" fontId="0" fillId="0" borderId="3" xfId="0" applyBorder="1">
      <alignment vertical="center"/>
    </xf>
    <xf numFmtId="182" fontId="3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3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77" fontId="1" fillId="0" borderId="39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77" fontId="3" fillId="0" borderId="14" xfId="0" applyNumberFormat="1" applyFont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177" fontId="12" fillId="0" borderId="17" xfId="0" applyNumberFormat="1" applyFont="1" applyBorder="1" applyAlignment="1">
      <alignment horizontal="center" vertical="center"/>
    </xf>
    <xf numFmtId="184" fontId="1" fillId="0" borderId="3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77" fontId="17" fillId="0" borderId="17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77" fontId="3" fillId="0" borderId="17" xfId="1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77" fontId="18" fillId="0" borderId="17" xfId="0" applyNumberFormat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81" fontId="3" fillId="0" borderId="3" xfId="0" applyNumberFormat="1" applyFont="1" applyBorder="1" applyAlignment="1">
      <alignment horizontal="center" vertical="center"/>
    </xf>
    <xf numFmtId="177" fontId="17" fillId="0" borderId="4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81" fontId="1" fillId="3" borderId="0" xfId="0" applyNumberFormat="1" applyFont="1" applyFill="1" applyAlignment="1">
      <alignment horizontal="center" vertical="center"/>
    </xf>
    <xf numFmtId="181" fontId="3" fillId="0" borderId="2" xfId="0" applyNumberFormat="1" applyFont="1" applyBorder="1" applyAlignment="1">
      <alignment horizontal="center" vertical="center"/>
    </xf>
    <xf numFmtId="184" fontId="3" fillId="0" borderId="3" xfId="0" applyNumberFormat="1" applyFont="1" applyBorder="1" applyAlignment="1">
      <alignment horizontal="center" vertical="center"/>
    </xf>
    <xf numFmtId="181" fontId="1" fillId="0" borderId="3" xfId="0" applyNumberFormat="1" applyFont="1" applyBorder="1" applyAlignment="1">
      <alignment horizontal="center" vertical="center"/>
    </xf>
    <xf numFmtId="181" fontId="15" fillId="0" borderId="3" xfId="0" applyNumberFormat="1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77" fontId="12" fillId="0" borderId="3" xfId="1" applyNumberFormat="1" applyFont="1" applyBorder="1" applyAlignment="1">
      <alignment horizontal="center" vertical="center"/>
    </xf>
    <xf numFmtId="177" fontId="12" fillId="0" borderId="40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85" fontId="20" fillId="0" borderId="3" xfId="0" applyNumberFormat="1" applyFont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81" fontId="3" fillId="10" borderId="0" xfId="0" applyNumberFormat="1" applyFont="1" applyFill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7" fontId="1" fillId="0" borderId="31" xfId="0" applyNumberFormat="1" applyFont="1" applyBorder="1" applyAlignment="1">
      <alignment horizontal="center" vertical="center"/>
    </xf>
    <xf numFmtId="180" fontId="1" fillId="0" borderId="32" xfId="0" applyNumberFormat="1" applyFont="1" applyBorder="1" applyAlignment="1">
      <alignment horizontal="center" vertical="center"/>
    </xf>
    <xf numFmtId="177" fontId="1" fillId="0" borderId="26" xfId="0" applyNumberFormat="1" applyFont="1" applyBorder="1" applyAlignment="1">
      <alignment horizontal="center" vertical="center"/>
    </xf>
    <xf numFmtId="180" fontId="1" fillId="0" borderId="28" xfId="0" applyNumberFormat="1" applyFont="1" applyBorder="1" applyAlignment="1">
      <alignment horizontal="center" vertical="center"/>
    </xf>
    <xf numFmtId="180" fontId="1" fillId="0" borderId="16" xfId="0" applyNumberFormat="1" applyFont="1" applyBorder="1" applyAlignment="1">
      <alignment horizontal="center" vertical="center"/>
    </xf>
    <xf numFmtId="180" fontId="3" fillId="0" borderId="18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80" fontId="3" fillId="0" borderId="15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80" fontId="3" fillId="0" borderId="23" xfId="0" applyNumberFormat="1" applyFont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/>
    </xf>
    <xf numFmtId="180" fontId="1" fillId="0" borderId="33" xfId="0" applyNumberFormat="1" applyFont="1" applyBorder="1" applyAlignment="1">
      <alignment horizontal="center" vertical="center"/>
    </xf>
    <xf numFmtId="180" fontId="1" fillId="0" borderId="36" xfId="0" applyNumberFormat="1" applyFont="1" applyBorder="1" applyAlignment="1">
      <alignment horizontal="center" vertical="center"/>
    </xf>
    <xf numFmtId="180" fontId="1" fillId="0" borderId="11" xfId="0" applyNumberFormat="1" applyFont="1" applyBorder="1" applyAlignment="1">
      <alignment horizontal="center" vertical="center"/>
    </xf>
    <xf numFmtId="177" fontId="3" fillId="0" borderId="26" xfId="1" applyNumberFormat="1" applyFont="1" applyBorder="1" applyAlignment="1">
      <alignment horizontal="center" vertical="center"/>
    </xf>
    <xf numFmtId="180" fontId="3" fillId="0" borderId="28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3" fillId="0" borderId="14" xfId="1" applyNumberFormat="1" applyFont="1" applyBorder="1" applyAlignment="1">
      <alignment horizontal="center" vertical="center"/>
    </xf>
    <xf numFmtId="180" fontId="1" fillId="0" borderId="38" xfId="0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177" fontId="12" fillId="0" borderId="5" xfId="2" applyNumberFormat="1" applyFont="1" applyBorder="1" applyAlignment="1">
      <alignment horizontal="center" vertical="center"/>
    </xf>
    <xf numFmtId="180" fontId="12" fillId="0" borderId="30" xfId="0" applyNumberFormat="1" applyFont="1" applyBorder="1" applyAlignment="1">
      <alignment horizontal="center" vertical="center"/>
    </xf>
    <xf numFmtId="185" fontId="3" fillId="0" borderId="3" xfId="0" applyNumberFormat="1" applyFont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184" fontId="1" fillId="3" borderId="0" xfId="0" applyNumberFormat="1" applyFont="1" applyFill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81" fontId="22" fillId="0" borderId="3" xfId="0" applyNumberFormat="1" applyFont="1" applyBorder="1" applyAlignment="1">
      <alignment horizontal="center" vertical="center"/>
    </xf>
    <xf numFmtId="177" fontId="22" fillId="0" borderId="14" xfId="1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180" fontId="22" fillId="0" borderId="18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81" fontId="22" fillId="0" borderId="2" xfId="0" applyNumberFormat="1" applyFont="1" applyBorder="1" applyAlignment="1">
      <alignment horizontal="center" vertical="center"/>
    </xf>
    <xf numFmtId="177" fontId="22" fillId="0" borderId="14" xfId="0" applyNumberFormat="1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77" fontId="14" fillId="0" borderId="17" xfId="0" applyNumberFormat="1" applyFont="1" applyBorder="1" applyAlignment="1">
      <alignment horizontal="center" vertical="center"/>
    </xf>
    <xf numFmtId="177" fontId="18" fillId="0" borderId="26" xfId="0" applyNumberFormat="1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0" fontId="12" fillId="23" borderId="0" xfId="0" applyFont="1" applyFill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0" fontId="22" fillId="0" borderId="32" xfId="0" applyNumberFormat="1" applyFont="1" applyBorder="1" applyAlignment="1">
      <alignment horizontal="center" vertical="center"/>
    </xf>
    <xf numFmtId="181" fontId="1" fillId="0" borderId="27" xfId="0" applyNumberFormat="1" applyFont="1" applyBorder="1" applyAlignment="1">
      <alignment horizontal="center" vertical="center"/>
    </xf>
    <xf numFmtId="181" fontId="3" fillId="0" borderId="27" xfId="0" applyNumberFormat="1" applyFont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177" fontId="14" fillId="15" borderId="17" xfId="0" applyNumberFormat="1" applyFont="1" applyFill="1" applyBorder="1" applyAlignment="1">
      <alignment horizontal="center" vertical="center"/>
    </xf>
    <xf numFmtId="0" fontId="14" fillId="15" borderId="18" xfId="0" applyFont="1" applyFill="1" applyBorder="1" applyAlignment="1">
      <alignment horizontal="center" vertical="center"/>
    </xf>
    <xf numFmtId="177" fontId="12" fillId="0" borderId="17" xfId="2" applyNumberFormat="1" applyFont="1" applyBorder="1" applyAlignment="1">
      <alignment horizontal="center" vertical="center"/>
    </xf>
    <xf numFmtId="177" fontId="12" fillId="0" borderId="14" xfId="1" applyNumberFormat="1" applyFont="1" applyBorder="1" applyAlignment="1">
      <alignment horizontal="center" vertical="center"/>
    </xf>
    <xf numFmtId="185" fontId="3" fillId="0" borderId="0" xfId="0" applyNumberFormat="1" applyFont="1" applyAlignment="1">
      <alignment horizontal="center" vertical="center"/>
    </xf>
    <xf numFmtId="185" fontId="3" fillId="8" borderId="3" xfId="0" applyNumberFormat="1" applyFont="1" applyFill="1" applyBorder="1" applyAlignment="1">
      <alignment horizontal="center" vertical="center"/>
    </xf>
    <xf numFmtId="185" fontId="11" fillId="0" borderId="3" xfId="0" applyNumberFormat="1" applyFont="1" applyBorder="1" applyAlignment="1">
      <alignment horizontal="center" vertical="center"/>
    </xf>
    <xf numFmtId="183" fontId="11" fillId="0" borderId="3" xfId="0" applyNumberFormat="1" applyFont="1" applyBorder="1" applyAlignment="1">
      <alignment horizontal="center" vertical="center"/>
    </xf>
    <xf numFmtId="183" fontId="3" fillId="0" borderId="3" xfId="0" applyNumberFormat="1" applyFont="1" applyBorder="1" applyAlignment="1">
      <alignment horizontal="center" vertical="center"/>
    </xf>
    <xf numFmtId="185" fontId="11" fillId="0" borderId="4" xfId="0" applyNumberFormat="1" applyFont="1" applyBorder="1" applyAlignment="1">
      <alignment horizontal="center" vertical="center"/>
    </xf>
    <xf numFmtId="185" fontId="3" fillId="0" borderId="4" xfId="0" applyNumberFormat="1" applyFont="1" applyBorder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185" fontId="13" fillId="0" borderId="3" xfId="0" applyNumberFormat="1" applyFont="1" applyBorder="1" applyAlignment="1">
      <alignment horizontal="center" vertical="center"/>
    </xf>
    <xf numFmtId="185" fontId="0" fillId="0" borderId="3" xfId="0" applyNumberFormat="1" applyBorder="1" applyAlignment="1">
      <alignment horizontal="center" vertical="center"/>
    </xf>
    <xf numFmtId="177" fontId="14" fillId="15" borderId="14" xfId="2" applyNumberFormat="1" applyFont="1" applyFill="1" applyBorder="1" applyAlignment="1">
      <alignment horizontal="center" vertical="center"/>
    </xf>
    <xf numFmtId="181" fontId="14" fillId="15" borderId="3" xfId="0" applyNumberFormat="1" applyFont="1" applyFill="1" applyBorder="1" applyAlignment="1">
      <alignment horizontal="center" vertical="center"/>
    </xf>
    <xf numFmtId="185" fontId="14" fillId="15" borderId="3" xfId="0" applyNumberFormat="1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3" fillId="24" borderId="47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77" fontId="17" fillId="0" borderId="26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1" fontId="15" fillId="0" borderId="27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177" fontId="22" fillId="0" borderId="26" xfId="0" applyNumberFormat="1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181" fontId="22" fillId="0" borderId="27" xfId="0" applyNumberFormat="1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180" fontId="22" fillId="0" borderId="36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80" fontId="17" fillId="0" borderId="18" xfId="0" applyNumberFormat="1" applyFont="1" applyBorder="1" applyAlignment="1">
      <alignment horizontal="center" vertical="center"/>
    </xf>
    <xf numFmtId="184" fontId="16" fillId="0" borderId="3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77" fontId="14" fillId="0" borderId="17" xfId="0" applyNumberFormat="1" applyFont="1" applyBorder="1" applyAlignment="1">
      <alignment horizontal="center" vertical="center" wrapText="1"/>
    </xf>
    <xf numFmtId="184" fontId="18" fillId="0" borderId="3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4" fillId="15" borderId="3" xfId="0" applyNumberFormat="1" applyFont="1" applyFill="1" applyBorder="1" applyAlignment="1">
      <alignment horizontal="center" vertical="center"/>
    </xf>
    <xf numFmtId="177" fontId="24" fillId="19" borderId="17" xfId="0" applyNumberFormat="1" applyFont="1" applyFill="1" applyBorder="1" applyAlignment="1">
      <alignment horizontal="center" vertical="center"/>
    </xf>
    <xf numFmtId="0" fontId="24" fillId="19" borderId="4" xfId="0" applyFont="1" applyFill="1" applyBorder="1">
      <alignment vertical="center"/>
    </xf>
    <xf numFmtId="0" fontId="24" fillId="19" borderId="4" xfId="0" applyFont="1" applyFill="1" applyBorder="1" applyAlignment="1">
      <alignment horizontal="center" vertical="center"/>
    </xf>
    <xf numFmtId="0" fontId="24" fillId="19" borderId="5" xfId="0" applyFont="1" applyFill="1" applyBorder="1" applyAlignment="1">
      <alignment horizontal="center" vertical="center"/>
    </xf>
    <xf numFmtId="0" fontId="12" fillId="19" borderId="30" xfId="0" applyFont="1" applyFill="1" applyBorder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17" borderId="3" xfId="0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85" fontId="13" fillId="0" borderId="0" xfId="0" applyNumberFormat="1" applyFont="1" applyAlignment="1">
      <alignment horizontal="center" vertical="center"/>
    </xf>
    <xf numFmtId="0" fontId="18" fillId="15" borderId="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28" borderId="3" xfId="0" applyFont="1" applyFill="1" applyBorder="1" applyAlignment="1">
      <alignment horizontal="center" vertical="center"/>
    </xf>
    <xf numFmtId="0" fontId="26" fillId="12" borderId="3" xfId="0" applyFont="1" applyFill="1" applyBorder="1" applyAlignment="1">
      <alignment horizontal="center" vertical="center"/>
    </xf>
    <xf numFmtId="176" fontId="26" fillId="12" borderId="3" xfId="0" applyNumberFormat="1" applyFont="1" applyFill="1" applyBorder="1" applyAlignment="1">
      <alignment horizontal="center" vertical="center"/>
    </xf>
    <xf numFmtId="177" fontId="27" fillId="0" borderId="4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18" borderId="3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10" fontId="26" fillId="0" borderId="3" xfId="0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176" fontId="26" fillId="0" borderId="4" xfId="0" applyNumberFormat="1" applyFont="1" applyBorder="1" applyAlignment="1">
      <alignment horizontal="center" vertical="center"/>
    </xf>
    <xf numFmtId="177" fontId="26" fillId="14" borderId="4" xfId="0" applyNumberFormat="1" applyFont="1" applyFill="1" applyBorder="1" applyAlignment="1">
      <alignment horizontal="center" vertical="center"/>
    </xf>
    <xf numFmtId="0" fontId="26" fillId="25" borderId="2" xfId="0" applyFont="1" applyFill="1" applyBorder="1" applyAlignment="1">
      <alignment horizontal="center" vertical="center"/>
    </xf>
    <xf numFmtId="10" fontId="26" fillId="25" borderId="3" xfId="0" applyNumberFormat="1" applyFont="1" applyFill="1" applyBorder="1" applyAlignment="1">
      <alignment horizontal="center" vertical="center"/>
    </xf>
    <xf numFmtId="176" fontId="26" fillId="25" borderId="3" xfId="0" applyNumberFormat="1" applyFont="1" applyFill="1" applyBorder="1" applyAlignment="1">
      <alignment horizontal="center" vertical="center"/>
    </xf>
    <xf numFmtId="176" fontId="26" fillId="25" borderId="4" xfId="0" applyNumberFormat="1" applyFont="1" applyFill="1" applyBorder="1" applyAlignment="1">
      <alignment horizontal="center" vertical="center"/>
    </xf>
    <xf numFmtId="177" fontId="26" fillId="0" borderId="4" xfId="0" applyNumberFormat="1" applyFont="1" applyBorder="1" applyAlignment="1">
      <alignment horizontal="center" vertical="center"/>
    </xf>
    <xf numFmtId="177" fontId="26" fillId="7" borderId="4" xfId="0" applyNumberFormat="1" applyFont="1" applyFill="1" applyBorder="1" applyAlignment="1">
      <alignment horizontal="center" vertical="center"/>
    </xf>
    <xf numFmtId="177" fontId="26" fillId="14" borderId="3" xfId="0" applyNumberFormat="1" applyFont="1" applyFill="1" applyBorder="1" applyAlignment="1">
      <alignment horizontal="center" vertical="center"/>
    </xf>
    <xf numFmtId="177" fontId="26" fillId="7" borderId="3" xfId="0" applyNumberFormat="1" applyFont="1" applyFill="1" applyBorder="1" applyAlignment="1">
      <alignment horizontal="center" vertical="center"/>
    </xf>
    <xf numFmtId="177" fontId="26" fillId="0" borderId="3" xfId="0" applyNumberFormat="1" applyFont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center" vertical="center"/>
    </xf>
    <xf numFmtId="10" fontId="26" fillId="13" borderId="3" xfId="0" applyNumberFormat="1" applyFont="1" applyFill="1" applyBorder="1" applyAlignment="1">
      <alignment horizontal="center" vertical="center"/>
    </xf>
    <xf numFmtId="176" fontId="26" fillId="13" borderId="3" xfId="0" applyNumberFormat="1" applyFont="1" applyFill="1" applyBorder="1" applyAlignment="1">
      <alignment horizontal="center" vertical="center"/>
    </xf>
    <xf numFmtId="176" fontId="26" fillId="13" borderId="4" xfId="0" applyNumberFormat="1" applyFont="1" applyFill="1" applyBorder="1" applyAlignment="1">
      <alignment horizontal="center" vertical="center"/>
    </xf>
    <xf numFmtId="0" fontId="26" fillId="22" borderId="3" xfId="0" applyFont="1" applyFill="1" applyBorder="1" applyAlignment="1">
      <alignment horizontal="center" vertical="center"/>
    </xf>
    <xf numFmtId="0" fontId="26" fillId="22" borderId="2" xfId="0" applyFont="1" applyFill="1" applyBorder="1" applyAlignment="1">
      <alignment horizontal="center" vertical="center"/>
    </xf>
    <xf numFmtId="10" fontId="26" fillId="22" borderId="3" xfId="0" applyNumberFormat="1" applyFont="1" applyFill="1" applyBorder="1" applyAlignment="1">
      <alignment horizontal="center" vertical="center"/>
    </xf>
    <xf numFmtId="176" fontId="26" fillId="22" borderId="3" xfId="0" applyNumberFormat="1" applyFont="1" applyFill="1" applyBorder="1" applyAlignment="1">
      <alignment horizontal="center" vertical="center"/>
    </xf>
    <xf numFmtId="176" fontId="26" fillId="22" borderId="4" xfId="0" applyNumberFormat="1" applyFont="1" applyFill="1" applyBorder="1" applyAlignment="1">
      <alignment horizontal="center" vertical="center"/>
    </xf>
    <xf numFmtId="177" fontId="27" fillId="7" borderId="4" xfId="0" applyNumberFormat="1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26" fillId="11" borderId="20" xfId="0" applyFont="1" applyFill="1" applyBorder="1" applyAlignment="1">
      <alignment horizontal="center" vertical="center"/>
    </xf>
    <xf numFmtId="176" fontId="26" fillId="11" borderId="20" xfId="0" applyNumberFormat="1" applyFont="1" applyFill="1" applyBorder="1" applyAlignment="1">
      <alignment horizontal="center" vertical="center"/>
    </xf>
    <xf numFmtId="176" fontId="26" fillId="11" borderId="42" xfId="0" applyNumberFormat="1" applyFont="1" applyFill="1" applyBorder="1" applyAlignment="1">
      <alignment horizontal="center" vertical="center"/>
    </xf>
    <xf numFmtId="177" fontId="26" fillId="26" borderId="20" xfId="0" applyNumberFormat="1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176" fontId="26" fillId="27" borderId="20" xfId="0" applyNumberFormat="1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18" borderId="20" xfId="0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11" borderId="3" xfId="0" applyFont="1" applyFill="1" applyBorder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26" fillId="13" borderId="3" xfId="0" applyFont="1" applyFill="1" applyBorder="1" applyAlignment="1">
      <alignment horizontal="left" vertical="center"/>
    </xf>
    <xf numFmtId="0" fontId="26" fillId="22" borderId="3" xfId="0" applyFont="1" applyFill="1" applyBorder="1" applyAlignment="1">
      <alignment horizontal="left" vertical="center"/>
    </xf>
    <xf numFmtId="0" fontId="26" fillId="15" borderId="2" xfId="0" applyFont="1" applyFill="1" applyBorder="1" applyAlignment="1">
      <alignment horizontal="left" vertical="center"/>
    </xf>
    <xf numFmtId="0" fontId="26" fillId="11" borderId="3" xfId="0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4" fillId="15" borderId="4" xfId="0" applyFont="1" applyFill="1" applyBorder="1" applyAlignment="1">
      <alignment horizontal="center" vertical="center"/>
    </xf>
    <xf numFmtId="177" fontId="3" fillId="0" borderId="34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0" fontId="14" fillId="15" borderId="4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9" fillId="17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18" borderId="2" xfId="0" applyFont="1" applyFill="1" applyBorder="1" applyAlignment="1">
      <alignment horizontal="center" vertical="center"/>
    </xf>
    <xf numFmtId="0" fontId="30" fillId="12" borderId="2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</cellXfs>
  <cellStyles count="5">
    <cellStyle name="一般" xfId="0" builtinId="0"/>
    <cellStyle name="一般 2" xfId="1" xr:uid="{00000000-0005-0000-0000-000001000000}"/>
    <cellStyle name="一般 3" xfId="2" xr:uid="{00000000-0005-0000-0000-000002000000}"/>
    <cellStyle name="一般 5" xfId="3" xr:uid="{00000000-0005-0000-0000-000003000000}"/>
    <cellStyle name="百分比 2" xfId="4" xr:uid="{65A8EF38-43FF-084E-9A58-9E2D110BD240}"/>
  </cellStyles>
  <dxfs count="0"/>
  <tableStyles count="0" defaultTableStyle="TableStyleMedium2" defaultPivotStyle="PivotStyleLight16"/>
  <colors>
    <mruColors>
      <color rgb="FFC8FFA2"/>
      <color rgb="FFFECCF8"/>
      <color rgb="FFFFE7FA"/>
      <color rgb="FFAEB4FF"/>
      <color rgb="FF86FF8A"/>
      <color rgb="FFE4E7FF"/>
      <color rgb="FFD6FFDC"/>
      <color rgb="FFFF9BFD"/>
      <color rgb="FFFFC7EE"/>
      <color rgb="FFFFB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DA2564-22C9-DB49-A39E-80F8DAE64E1E}">
  <we:reference id="wa200005669" version="2.0.0.0" store="zh-TW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tabSelected="1" workbookViewId="0">
      <selection activeCell="R2" sqref="R2:X13"/>
    </sheetView>
  </sheetViews>
  <sheetFormatPr defaultColWidth="10.81640625" defaultRowHeight="23" customHeight="1"/>
  <cols>
    <col min="1" max="1" width="10.81640625" style="240"/>
    <col min="2" max="2" width="26.1796875" style="294" customWidth="1"/>
    <col min="3" max="3" width="11" style="240" bestFit="1" customWidth="1"/>
    <col min="4" max="4" width="10.81640625" style="240"/>
    <col min="5" max="5" width="11" style="240" bestFit="1" customWidth="1"/>
    <col min="6" max="7" width="11.453125" style="287" bestFit="1" customWidth="1"/>
    <col min="8" max="13" width="11" style="288" bestFit="1" customWidth="1"/>
    <col min="14" max="14" width="10.81640625" style="240"/>
    <col min="15" max="16" width="11" style="240" bestFit="1" customWidth="1"/>
    <col min="17" max="17" width="11.453125" style="287" bestFit="1" customWidth="1"/>
    <col min="18" max="19" width="20.1796875" style="240" customWidth="1"/>
    <col min="20" max="20" width="17.36328125" style="240" customWidth="1"/>
    <col min="21" max="21" width="16.453125" style="240" customWidth="1"/>
    <col min="22" max="22" width="18.81640625" style="240" customWidth="1"/>
    <col min="23" max="23" width="25.6328125" style="240" customWidth="1"/>
    <col min="24" max="24" width="55.36328125" style="240" customWidth="1"/>
    <col min="25" max="25" width="28.1796875" style="240" customWidth="1"/>
    <col min="26" max="26" width="10.81640625" style="240"/>
    <col min="27" max="27" width="18.453125" style="240" customWidth="1"/>
    <col min="28" max="28" width="20.6328125" style="240" customWidth="1"/>
    <col min="29" max="16384" width="10.81640625" style="240"/>
  </cols>
  <sheetData>
    <row r="1" spans="1:28" ht="23" customHeight="1">
      <c r="A1" s="273" t="s">
        <v>0</v>
      </c>
      <c r="B1" s="293" t="s">
        <v>79</v>
      </c>
      <c r="C1" s="285" t="s">
        <v>80</v>
      </c>
      <c r="D1" s="285" t="s">
        <v>81</v>
      </c>
      <c r="E1" s="274" t="s">
        <v>3</v>
      </c>
      <c r="F1" s="275" t="s">
        <v>82</v>
      </c>
      <c r="G1" s="276" t="s">
        <v>83</v>
      </c>
      <c r="H1" s="277" t="s">
        <v>84</v>
      </c>
      <c r="I1" s="277" t="s">
        <v>85</v>
      </c>
      <c r="J1" s="277" t="s">
        <v>86</v>
      </c>
      <c r="K1" s="277" t="s">
        <v>87</v>
      </c>
      <c r="L1" s="277" t="s">
        <v>88</v>
      </c>
      <c r="M1" s="277" t="s">
        <v>89</v>
      </c>
      <c r="N1" s="278" t="s">
        <v>90</v>
      </c>
      <c r="O1" s="278" t="s">
        <v>91</v>
      </c>
      <c r="P1" s="278" t="s">
        <v>92</v>
      </c>
      <c r="Q1" s="279" t="s">
        <v>93</v>
      </c>
      <c r="R1" s="273" t="s">
        <v>94</v>
      </c>
      <c r="S1" s="273" t="s">
        <v>95</v>
      </c>
      <c r="T1" s="273" t="s">
        <v>96</v>
      </c>
      <c r="U1" s="280" t="s">
        <v>97</v>
      </c>
      <c r="V1" s="273" t="s">
        <v>98</v>
      </c>
      <c r="W1" s="273" t="s">
        <v>99</v>
      </c>
      <c r="X1" s="278" t="s">
        <v>100</v>
      </c>
      <c r="Y1" s="273" t="s">
        <v>101</v>
      </c>
      <c r="Z1" s="281" t="s">
        <v>102</v>
      </c>
      <c r="AA1" s="281" t="s">
        <v>103</v>
      </c>
      <c r="AB1" s="239"/>
    </row>
    <row r="2" spans="1:28" ht="23" customHeight="1">
      <c r="A2" s="286" t="s">
        <v>110</v>
      </c>
      <c r="B2" s="292" t="s">
        <v>111</v>
      </c>
      <c r="C2" s="283">
        <v>50</v>
      </c>
      <c r="D2" s="253" t="s">
        <v>107</v>
      </c>
      <c r="E2" s="254">
        <v>0.24</v>
      </c>
      <c r="F2" s="255">
        <v>45854</v>
      </c>
      <c r="G2" s="256">
        <v>46219</v>
      </c>
      <c r="H2" s="272">
        <v>45885</v>
      </c>
      <c r="I2" s="272">
        <v>45916</v>
      </c>
      <c r="J2" s="244">
        <v>45946</v>
      </c>
      <c r="K2" s="244">
        <v>45977</v>
      </c>
      <c r="L2" s="244">
        <v>46007</v>
      </c>
      <c r="M2" s="244">
        <v>45673</v>
      </c>
      <c r="N2" s="242" t="s">
        <v>106</v>
      </c>
      <c r="O2" s="242">
        <v>1</v>
      </c>
      <c r="P2" s="242">
        <f t="shared" ref="P2:P10" si="0">C2*E2*O2</f>
        <v>12</v>
      </c>
      <c r="Q2" s="243">
        <v>45854</v>
      </c>
      <c r="R2" s="247"/>
      <c r="S2" s="248"/>
      <c r="T2" s="247"/>
      <c r="U2" s="247"/>
      <c r="V2" s="247"/>
      <c r="W2" s="247"/>
      <c r="X2" s="282"/>
      <c r="Y2" s="247"/>
      <c r="Z2" s="245" t="s">
        <v>112</v>
      </c>
      <c r="AA2" s="245" t="s">
        <v>66</v>
      </c>
      <c r="AB2" s="239"/>
    </row>
    <row r="3" spans="1:28" ht="23" customHeight="1">
      <c r="A3" s="286" t="s">
        <v>113</v>
      </c>
      <c r="B3" s="290" t="s">
        <v>114</v>
      </c>
      <c r="C3" s="262">
        <v>150</v>
      </c>
      <c r="D3" s="263" t="s">
        <v>107</v>
      </c>
      <c r="E3" s="264">
        <v>0.18</v>
      </c>
      <c r="F3" s="265">
        <v>45861</v>
      </c>
      <c r="G3" s="266">
        <v>46226</v>
      </c>
      <c r="H3" s="272">
        <v>45892</v>
      </c>
      <c r="I3" s="272">
        <v>45923</v>
      </c>
      <c r="J3" s="244">
        <v>45953</v>
      </c>
      <c r="K3" s="244">
        <v>45984</v>
      </c>
      <c r="L3" s="244">
        <v>46014</v>
      </c>
      <c r="M3" s="244">
        <v>46045</v>
      </c>
      <c r="N3" s="242" t="s">
        <v>108</v>
      </c>
      <c r="O3" s="242">
        <v>3</v>
      </c>
      <c r="P3" s="242">
        <f t="shared" si="0"/>
        <v>81</v>
      </c>
      <c r="Q3" s="243">
        <v>45119</v>
      </c>
      <c r="R3" s="245"/>
      <c r="S3" s="246"/>
      <c r="T3" s="245"/>
      <c r="U3" s="247"/>
      <c r="V3" s="245"/>
      <c r="W3" s="245"/>
      <c r="X3" s="242"/>
      <c r="Y3" s="245"/>
      <c r="Z3" s="302" t="s">
        <v>137</v>
      </c>
      <c r="AA3" s="245" t="s">
        <v>67</v>
      </c>
      <c r="AB3" s="239"/>
    </row>
    <row r="4" spans="1:28" ht="23" customHeight="1">
      <c r="A4" s="286" t="s">
        <v>113</v>
      </c>
      <c r="B4" s="289" t="s">
        <v>115</v>
      </c>
      <c r="C4" s="245">
        <v>150</v>
      </c>
      <c r="D4" s="247" t="s">
        <v>104</v>
      </c>
      <c r="E4" s="249">
        <v>7.1999999999999995E-2</v>
      </c>
      <c r="F4" s="250">
        <v>45868</v>
      </c>
      <c r="G4" s="251">
        <v>46052</v>
      </c>
      <c r="H4" s="258">
        <v>45899</v>
      </c>
      <c r="I4" s="258">
        <v>45930</v>
      </c>
      <c r="J4" s="257">
        <v>45960</v>
      </c>
      <c r="K4" s="257">
        <v>45991</v>
      </c>
      <c r="L4" s="257">
        <v>46021</v>
      </c>
      <c r="M4" s="257">
        <v>46052</v>
      </c>
      <c r="N4" s="242" t="s">
        <v>105</v>
      </c>
      <c r="O4" s="242">
        <v>6</v>
      </c>
      <c r="P4" s="242">
        <f t="shared" si="0"/>
        <v>64.8</v>
      </c>
      <c r="Q4" s="243">
        <v>45126</v>
      </c>
      <c r="R4" s="245"/>
      <c r="S4" s="248"/>
      <c r="T4" s="245"/>
      <c r="U4" s="245"/>
      <c r="V4" s="245"/>
      <c r="W4" s="245"/>
      <c r="X4" s="242"/>
      <c r="Y4" s="245"/>
      <c r="Z4" s="302" t="s">
        <v>137</v>
      </c>
      <c r="AA4" s="245" t="s">
        <v>67</v>
      </c>
      <c r="AB4" s="239"/>
    </row>
    <row r="5" spans="1:28" ht="23" customHeight="1">
      <c r="A5" s="286" t="s">
        <v>113</v>
      </c>
      <c r="B5" s="289" t="s">
        <v>116</v>
      </c>
      <c r="C5" s="245">
        <v>100</v>
      </c>
      <c r="D5" s="247" t="s">
        <v>104</v>
      </c>
      <c r="E5" s="249">
        <v>7.1999999999999995E-2</v>
      </c>
      <c r="F5" s="250">
        <v>45763</v>
      </c>
      <c r="G5" s="251">
        <v>45946</v>
      </c>
      <c r="H5" s="252">
        <v>45793</v>
      </c>
      <c r="I5" s="252">
        <v>45824</v>
      </c>
      <c r="J5" s="252">
        <v>45854</v>
      </c>
      <c r="K5" s="258">
        <v>45885</v>
      </c>
      <c r="L5" s="258">
        <v>45916</v>
      </c>
      <c r="M5" s="257">
        <v>45946</v>
      </c>
      <c r="N5" s="242" t="s">
        <v>105</v>
      </c>
      <c r="O5" s="242">
        <v>3</v>
      </c>
      <c r="P5" s="242">
        <f t="shared" si="0"/>
        <v>21.599999999999998</v>
      </c>
      <c r="Q5" s="243">
        <v>45392</v>
      </c>
      <c r="R5" s="245"/>
      <c r="S5" s="248"/>
      <c r="T5" s="245"/>
      <c r="U5" s="245"/>
      <c r="V5" s="245"/>
      <c r="W5" s="245"/>
      <c r="X5" s="242"/>
      <c r="Y5" s="245"/>
      <c r="Z5" s="302" t="s">
        <v>137</v>
      </c>
      <c r="AA5" s="245" t="s">
        <v>67</v>
      </c>
      <c r="AB5" s="239"/>
    </row>
    <row r="6" spans="1:28" ht="23" customHeight="1">
      <c r="A6" s="286" t="s">
        <v>113</v>
      </c>
      <c r="B6" s="289" t="s">
        <v>117</v>
      </c>
      <c r="C6" s="245">
        <v>30</v>
      </c>
      <c r="D6" s="247" t="s">
        <v>104</v>
      </c>
      <c r="E6" s="249">
        <v>7.1999999999999995E-2</v>
      </c>
      <c r="F6" s="250">
        <v>45770</v>
      </c>
      <c r="G6" s="250">
        <v>45953</v>
      </c>
      <c r="H6" s="259">
        <v>45800</v>
      </c>
      <c r="I6" s="259">
        <v>45831</v>
      </c>
      <c r="J6" s="259">
        <v>45861</v>
      </c>
      <c r="K6" s="260">
        <v>45892</v>
      </c>
      <c r="L6" s="260">
        <v>45923</v>
      </c>
      <c r="M6" s="261">
        <v>45953</v>
      </c>
      <c r="N6" s="242" t="s">
        <v>109</v>
      </c>
      <c r="O6" s="242">
        <v>1</v>
      </c>
      <c r="P6" s="242">
        <f t="shared" si="0"/>
        <v>2.1599999999999997</v>
      </c>
      <c r="Q6" s="243">
        <v>45770</v>
      </c>
      <c r="R6" s="245"/>
      <c r="S6" s="246"/>
      <c r="T6" s="245"/>
      <c r="U6" s="245"/>
      <c r="V6" s="245"/>
      <c r="W6" s="245"/>
      <c r="X6" s="242"/>
      <c r="Y6" s="245"/>
      <c r="Z6" s="302" t="s">
        <v>137</v>
      </c>
      <c r="AA6" s="245" t="s">
        <v>67</v>
      </c>
      <c r="AB6" s="239"/>
    </row>
    <row r="7" spans="1:28" ht="23" customHeight="1">
      <c r="A7" s="286" t="s">
        <v>113</v>
      </c>
      <c r="B7" s="291" t="s">
        <v>118</v>
      </c>
      <c r="C7" s="267">
        <v>100</v>
      </c>
      <c r="D7" s="268" t="s">
        <v>107</v>
      </c>
      <c r="E7" s="269">
        <v>0.216</v>
      </c>
      <c r="F7" s="270">
        <v>45777</v>
      </c>
      <c r="G7" s="271">
        <v>46142</v>
      </c>
      <c r="H7" s="252">
        <v>45807</v>
      </c>
      <c r="I7" s="252">
        <v>45838</v>
      </c>
      <c r="J7" s="258">
        <v>45868</v>
      </c>
      <c r="K7" s="258">
        <v>45899</v>
      </c>
      <c r="L7" s="258">
        <v>45930</v>
      </c>
      <c r="M7" s="257">
        <v>45960</v>
      </c>
      <c r="N7" s="242" t="s">
        <v>106</v>
      </c>
      <c r="O7" s="242">
        <v>1</v>
      </c>
      <c r="P7" s="242">
        <f t="shared" si="0"/>
        <v>21.6</v>
      </c>
      <c r="Q7" s="243">
        <v>45777</v>
      </c>
      <c r="R7" s="245"/>
      <c r="S7" s="248"/>
      <c r="T7" s="245"/>
      <c r="U7" s="245"/>
      <c r="V7" s="245"/>
      <c r="W7" s="245"/>
      <c r="X7" s="242"/>
      <c r="Y7" s="245"/>
      <c r="Z7" s="302" t="s">
        <v>137</v>
      </c>
      <c r="AA7" s="245" t="s">
        <v>67</v>
      </c>
      <c r="AB7" s="239"/>
    </row>
    <row r="8" spans="1:28" ht="23" customHeight="1">
      <c r="A8" s="286" t="s">
        <v>113</v>
      </c>
      <c r="B8" s="289" t="s">
        <v>119</v>
      </c>
      <c r="C8" s="245">
        <v>300</v>
      </c>
      <c r="D8" s="247" t="s">
        <v>104</v>
      </c>
      <c r="E8" s="249">
        <v>7.1999999999999995E-2</v>
      </c>
      <c r="F8" s="250">
        <v>45777</v>
      </c>
      <c r="G8" s="251">
        <v>45960</v>
      </c>
      <c r="H8" s="252">
        <v>45807</v>
      </c>
      <c r="I8" s="252">
        <v>45838</v>
      </c>
      <c r="J8" s="258">
        <v>45868</v>
      </c>
      <c r="K8" s="258">
        <v>45899</v>
      </c>
      <c r="L8" s="258">
        <v>45930</v>
      </c>
      <c r="M8" s="257">
        <v>45960</v>
      </c>
      <c r="N8" s="242" t="s">
        <v>105</v>
      </c>
      <c r="O8" s="242">
        <v>4</v>
      </c>
      <c r="P8" s="242">
        <f t="shared" si="0"/>
        <v>86.399999999999991</v>
      </c>
      <c r="Q8" s="243">
        <v>45028</v>
      </c>
      <c r="R8" s="245"/>
      <c r="S8" s="248"/>
      <c r="T8" s="245"/>
      <c r="U8" s="245"/>
      <c r="V8" s="245"/>
      <c r="W8" s="245"/>
      <c r="X8" s="242"/>
      <c r="Y8" s="245"/>
      <c r="Z8" s="302" t="s">
        <v>137</v>
      </c>
      <c r="AA8" s="245" t="s">
        <v>67</v>
      </c>
      <c r="AB8" s="239"/>
    </row>
    <row r="9" spans="1:28" ht="23" customHeight="1">
      <c r="A9" s="286" t="s">
        <v>113</v>
      </c>
      <c r="B9" s="289" t="s">
        <v>120</v>
      </c>
      <c r="C9" s="245">
        <v>50</v>
      </c>
      <c r="D9" s="247" t="s">
        <v>104</v>
      </c>
      <c r="E9" s="249">
        <v>7.1999999999999995E-2</v>
      </c>
      <c r="F9" s="250">
        <v>45784</v>
      </c>
      <c r="G9" s="251">
        <v>45968</v>
      </c>
      <c r="H9" s="252">
        <v>45815</v>
      </c>
      <c r="I9" s="252">
        <v>45845</v>
      </c>
      <c r="J9" s="258">
        <v>45876</v>
      </c>
      <c r="K9" s="258">
        <v>45907</v>
      </c>
      <c r="L9" s="257">
        <v>45937</v>
      </c>
      <c r="M9" s="257">
        <v>45968</v>
      </c>
      <c r="N9" s="242" t="s">
        <v>109</v>
      </c>
      <c r="O9" s="242">
        <v>3</v>
      </c>
      <c r="P9" s="242">
        <f t="shared" si="0"/>
        <v>10.799999999999999</v>
      </c>
      <c r="Q9" s="243">
        <v>45413</v>
      </c>
      <c r="R9" s="245"/>
      <c r="S9" s="246"/>
      <c r="T9" s="245"/>
      <c r="U9" s="245"/>
      <c r="V9" s="245"/>
      <c r="W9" s="245"/>
      <c r="X9" s="242"/>
      <c r="Y9" s="245"/>
      <c r="Z9" s="302" t="s">
        <v>137</v>
      </c>
      <c r="AA9" s="245" t="s">
        <v>67</v>
      </c>
      <c r="AB9" s="239"/>
    </row>
    <row r="10" spans="1:28" ht="23" customHeight="1">
      <c r="A10" s="241" t="s">
        <v>121</v>
      </c>
      <c r="B10" s="291" t="s">
        <v>122</v>
      </c>
      <c r="C10" s="267">
        <v>50</v>
      </c>
      <c r="D10" s="268" t="s">
        <v>107</v>
      </c>
      <c r="E10" s="269">
        <v>0.216</v>
      </c>
      <c r="F10" s="270">
        <v>45798</v>
      </c>
      <c r="G10" s="271">
        <v>46163</v>
      </c>
      <c r="H10" s="252">
        <v>45829</v>
      </c>
      <c r="I10" s="252">
        <v>45859</v>
      </c>
      <c r="J10" s="258">
        <v>45890</v>
      </c>
      <c r="K10" s="258">
        <v>45921</v>
      </c>
      <c r="L10" s="257">
        <v>45951</v>
      </c>
      <c r="M10" s="257">
        <v>45982</v>
      </c>
      <c r="N10" s="242" t="s">
        <v>106</v>
      </c>
      <c r="O10" s="242">
        <v>1</v>
      </c>
      <c r="P10" s="242">
        <f t="shared" si="0"/>
        <v>10.8</v>
      </c>
      <c r="Q10" s="243">
        <v>45798</v>
      </c>
      <c r="R10" s="245"/>
      <c r="S10" s="248"/>
      <c r="T10" s="245"/>
      <c r="U10" s="245"/>
      <c r="V10" s="245"/>
      <c r="W10" s="245"/>
      <c r="X10" s="242"/>
      <c r="Y10" s="245"/>
      <c r="Z10" s="245" t="s">
        <v>123</v>
      </c>
      <c r="AA10" s="245" t="s">
        <v>65</v>
      </c>
      <c r="AB10" s="239"/>
    </row>
    <row r="11" spans="1:28" ht="23" customHeight="1">
      <c r="A11" s="301" t="s">
        <v>130</v>
      </c>
      <c r="B11" s="299" t="s">
        <v>125</v>
      </c>
      <c r="C11" s="283">
        <v>50</v>
      </c>
      <c r="D11" s="253" t="s">
        <v>107</v>
      </c>
      <c r="E11" s="254">
        <v>0.24</v>
      </c>
      <c r="F11" s="255">
        <v>45889</v>
      </c>
      <c r="G11" s="256">
        <v>46254</v>
      </c>
      <c r="H11" s="272">
        <v>45920</v>
      </c>
      <c r="I11" s="244">
        <v>45950</v>
      </c>
      <c r="J11" s="244">
        <v>45981</v>
      </c>
      <c r="K11" s="244">
        <v>46011</v>
      </c>
      <c r="L11" s="244">
        <v>46042</v>
      </c>
      <c r="M11" s="244">
        <v>46073</v>
      </c>
      <c r="N11" s="242" t="s">
        <v>106</v>
      </c>
      <c r="O11" s="242">
        <v>1</v>
      </c>
      <c r="P11" s="242">
        <f t="shared" ref="P11:P13" si="1">C11*E11*O11</f>
        <v>12</v>
      </c>
      <c r="Q11" s="243">
        <v>45889</v>
      </c>
      <c r="R11" s="247"/>
      <c r="S11" s="248"/>
      <c r="T11" s="247"/>
      <c r="U11" s="247"/>
      <c r="V11" s="247"/>
      <c r="W11" s="247"/>
      <c r="X11" s="282"/>
      <c r="Y11" s="247"/>
      <c r="Z11" s="245" t="s">
        <v>131</v>
      </c>
      <c r="AA11" s="245" t="s">
        <v>132</v>
      </c>
      <c r="AB11" s="239"/>
    </row>
    <row r="12" spans="1:28" ht="23" customHeight="1">
      <c r="A12" s="233" t="s">
        <v>130</v>
      </c>
      <c r="B12" s="300" t="s">
        <v>125</v>
      </c>
      <c r="C12" s="245">
        <v>50</v>
      </c>
      <c r="D12" s="247" t="s">
        <v>104</v>
      </c>
      <c r="E12" s="249">
        <v>7.1999999999999995E-2</v>
      </c>
      <c r="F12" s="250">
        <v>45889</v>
      </c>
      <c r="G12" s="251">
        <v>45708</v>
      </c>
      <c r="H12" s="272">
        <v>45920</v>
      </c>
      <c r="I12" s="244">
        <v>45950</v>
      </c>
      <c r="J12" s="244">
        <v>45981</v>
      </c>
      <c r="K12" s="244">
        <v>46011</v>
      </c>
      <c r="L12" s="244">
        <v>46042</v>
      </c>
      <c r="M12" s="244">
        <v>46073</v>
      </c>
      <c r="N12" s="242" t="s">
        <v>109</v>
      </c>
      <c r="O12" s="242">
        <v>1</v>
      </c>
      <c r="P12" s="242">
        <f t="shared" si="1"/>
        <v>3.5999999999999996</v>
      </c>
      <c r="Q12" s="243">
        <v>45889</v>
      </c>
      <c r="R12" s="247"/>
      <c r="S12" s="248"/>
      <c r="T12" s="247"/>
      <c r="U12" s="247"/>
      <c r="V12" s="247"/>
      <c r="W12" s="247"/>
      <c r="X12" s="282"/>
      <c r="Y12" s="247"/>
      <c r="Z12" s="245" t="s">
        <v>131</v>
      </c>
      <c r="AA12" s="245" t="s">
        <v>132</v>
      </c>
      <c r="AB12" s="239"/>
    </row>
    <row r="13" spans="1:28" ht="23" customHeight="1">
      <c r="A13" s="233" t="s">
        <v>135</v>
      </c>
      <c r="B13" s="232" t="s">
        <v>136</v>
      </c>
      <c r="C13" s="245">
        <v>50</v>
      </c>
      <c r="D13" s="247" t="s">
        <v>104</v>
      </c>
      <c r="E13" s="249">
        <v>7.1999999999999995E-2</v>
      </c>
      <c r="F13" s="231">
        <v>45917</v>
      </c>
      <c r="G13" s="236">
        <v>46098</v>
      </c>
      <c r="H13" s="230">
        <v>45947</v>
      </c>
      <c r="I13" s="235">
        <v>45978</v>
      </c>
      <c r="J13" s="230">
        <v>46008</v>
      </c>
      <c r="K13" s="235">
        <v>46039</v>
      </c>
      <c r="L13" s="230">
        <v>46070</v>
      </c>
      <c r="M13" s="235">
        <v>46098</v>
      </c>
      <c r="N13" s="242" t="s">
        <v>109</v>
      </c>
      <c r="O13" s="98">
        <v>1</v>
      </c>
      <c r="P13" s="98">
        <f t="shared" si="1"/>
        <v>3.5999999999999996</v>
      </c>
      <c r="Q13" s="234">
        <v>45917</v>
      </c>
      <c r="R13" s="303"/>
      <c r="S13" s="304"/>
      <c r="T13" s="303"/>
      <c r="U13" s="303"/>
      <c r="V13" s="303"/>
      <c r="W13" s="303"/>
      <c r="X13" s="305"/>
      <c r="Y13" s="247"/>
      <c r="Z13" s="302" t="s">
        <v>138</v>
      </c>
      <c r="AA13" s="306" t="s">
        <v>139</v>
      </c>
      <c r="AB13" s="239"/>
    </row>
    <row r="14" spans="1:28" ht="23" customHeight="1">
      <c r="C14" s="240">
        <f>SUM(C2:C12)</f>
        <v>1080</v>
      </c>
    </row>
    <row r="16" spans="1:28" ht="23" customHeight="1">
      <c r="B16" s="284"/>
      <c r="E16" s="287"/>
      <c r="G16" s="288"/>
      <c r="M16" s="240"/>
      <c r="P16" s="287"/>
      <c r="Q16" s="240"/>
    </row>
    <row r="17" spans="2:17" ht="23" customHeight="1">
      <c r="B17" s="240"/>
      <c r="E17" s="287"/>
      <c r="G17" s="288"/>
      <c r="M17" s="240"/>
      <c r="P17" s="287"/>
      <c r="Q17" s="24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4"/>
  <sheetViews>
    <sheetView topLeftCell="A20" workbookViewId="0">
      <selection activeCell="D34" sqref="D34"/>
    </sheetView>
  </sheetViews>
  <sheetFormatPr defaultColWidth="25.1796875" defaultRowHeight="25" customHeight="1"/>
  <cols>
    <col min="1" max="2" width="25.1796875" style="2"/>
    <col min="3" max="3" width="25.1796875" style="92"/>
    <col min="4" max="5" width="25.1796875" style="117"/>
    <col min="6" max="7" width="25.1796875" style="92"/>
  </cols>
  <sheetData>
    <row r="1" spans="1:7" ht="25" customHeight="1">
      <c r="A1" s="29"/>
      <c r="B1" s="29" t="s">
        <v>64</v>
      </c>
      <c r="C1" s="35" t="s">
        <v>39</v>
      </c>
      <c r="D1" s="187"/>
      <c r="E1" s="187"/>
      <c r="F1" s="35"/>
    </row>
    <row r="2" spans="1:7" ht="25" customHeight="1">
      <c r="A2" s="30" t="s">
        <v>33</v>
      </c>
      <c r="B2" s="30" t="s">
        <v>34</v>
      </c>
      <c r="C2" s="78" t="s">
        <v>35</v>
      </c>
      <c r="D2" s="188" t="s">
        <v>36</v>
      </c>
      <c r="E2" s="188" t="s">
        <v>37</v>
      </c>
      <c r="F2" s="94" t="s">
        <v>38</v>
      </c>
      <c r="G2" s="95"/>
    </row>
    <row r="3" spans="1:7" ht="25" customHeight="1">
      <c r="A3" s="26">
        <v>45854</v>
      </c>
      <c r="B3" s="26">
        <v>45854</v>
      </c>
      <c r="C3" s="51" t="s">
        <v>59</v>
      </c>
      <c r="D3" s="189">
        <f>G3*-1%</f>
        <v>-0.5</v>
      </c>
      <c r="E3" s="189">
        <f>D3</f>
        <v>-0.5</v>
      </c>
      <c r="F3" s="36" t="s">
        <v>40</v>
      </c>
      <c r="G3" s="97">
        <v>50</v>
      </c>
    </row>
    <row r="4" spans="1:7" ht="25" customHeight="1">
      <c r="A4" s="29"/>
      <c r="B4" s="29" t="s">
        <v>64</v>
      </c>
      <c r="C4" s="35" t="s">
        <v>39</v>
      </c>
      <c r="D4" s="187"/>
      <c r="E4" s="187"/>
      <c r="F4" s="35"/>
    </row>
    <row r="5" spans="1:7" ht="25" customHeight="1">
      <c r="A5" s="30" t="s">
        <v>33</v>
      </c>
      <c r="B5" s="30" t="s">
        <v>34</v>
      </c>
      <c r="C5" s="78" t="s">
        <v>35</v>
      </c>
      <c r="D5" s="188" t="s">
        <v>36</v>
      </c>
      <c r="E5" s="188" t="s">
        <v>37</v>
      </c>
      <c r="F5" s="94" t="s">
        <v>38</v>
      </c>
      <c r="G5" s="95"/>
    </row>
    <row r="6" spans="1:7" ht="25" customHeight="1">
      <c r="A6" s="26">
        <v>45854</v>
      </c>
      <c r="B6" s="26">
        <v>45854</v>
      </c>
      <c r="C6" s="36" t="s">
        <v>58</v>
      </c>
      <c r="D6" s="189">
        <f>G6*-1%</f>
        <v>-0.5</v>
      </c>
      <c r="E6" s="189">
        <f>E3+D6</f>
        <v>-1</v>
      </c>
      <c r="F6" s="36" t="s">
        <v>40</v>
      </c>
      <c r="G6" s="36">
        <v>50</v>
      </c>
    </row>
    <row r="7" spans="1:7" ht="25" customHeight="1">
      <c r="A7" s="26">
        <v>45854</v>
      </c>
      <c r="B7" s="26">
        <v>45854</v>
      </c>
      <c r="C7" s="182" t="s">
        <v>62</v>
      </c>
      <c r="D7" s="199">
        <v>50</v>
      </c>
      <c r="E7" s="152">
        <f t="shared" ref="E7:E13" si="0">E6+D7</f>
        <v>49</v>
      </c>
      <c r="F7" s="82" t="s">
        <v>63</v>
      </c>
      <c r="G7" s="83"/>
    </row>
    <row r="8" spans="1:7" ht="25" customHeight="1">
      <c r="A8" s="29"/>
      <c r="B8" s="29" t="s">
        <v>64</v>
      </c>
      <c r="C8" s="35" t="s">
        <v>39</v>
      </c>
      <c r="D8" s="187"/>
      <c r="E8" s="187"/>
      <c r="F8" s="35"/>
    </row>
    <row r="9" spans="1:7" ht="25" customHeight="1">
      <c r="A9" s="30" t="s">
        <v>33</v>
      </c>
      <c r="B9" s="30" t="s">
        <v>34</v>
      </c>
      <c r="C9" s="78" t="s">
        <v>35</v>
      </c>
      <c r="D9" s="188" t="s">
        <v>36</v>
      </c>
      <c r="E9" s="188" t="s">
        <v>37</v>
      </c>
      <c r="F9" s="94" t="s">
        <v>38</v>
      </c>
      <c r="G9" s="95"/>
    </row>
    <row r="10" spans="1:7" ht="25" customHeight="1">
      <c r="A10" s="65">
        <v>45861</v>
      </c>
      <c r="B10" s="65">
        <v>45861</v>
      </c>
      <c r="C10" s="93" t="s">
        <v>68</v>
      </c>
      <c r="D10" s="192">
        <f>G10*-2.4%</f>
        <v>-3.6</v>
      </c>
      <c r="E10" s="152">
        <f>E7+D10</f>
        <v>45.4</v>
      </c>
      <c r="F10" s="118" t="s">
        <v>71</v>
      </c>
      <c r="G10" s="51">
        <v>150</v>
      </c>
    </row>
    <row r="11" spans="1:7" ht="25" customHeight="1">
      <c r="B11" s="2">
        <v>45862</v>
      </c>
      <c r="C11" s="92" t="s">
        <v>72</v>
      </c>
      <c r="D11" s="237">
        <v>-40</v>
      </c>
      <c r="E11" s="152">
        <f t="shared" si="0"/>
        <v>5.3999999999999986</v>
      </c>
      <c r="F11" s="310" t="s">
        <v>73</v>
      </c>
      <c r="G11" s="311"/>
    </row>
    <row r="12" spans="1:7" s="92" customFormat="1" ht="25" customHeight="1">
      <c r="A12" s="65">
        <v>45868</v>
      </c>
      <c r="B12" s="65">
        <v>45868</v>
      </c>
      <c r="C12" s="93" t="s">
        <v>74</v>
      </c>
      <c r="D12" s="192">
        <f>G12*-1%</f>
        <v>-1.5</v>
      </c>
      <c r="E12" s="191">
        <f t="shared" si="0"/>
        <v>3.8999999999999986</v>
      </c>
      <c r="F12" s="118" t="s">
        <v>51</v>
      </c>
      <c r="G12" s="51">
        <v>150</v>
      </c>
    </row>
    <row r="13" spans="1:7" ht="25" customHeight="1">
      <c r="A13" s="60"/>
      <c r="B13" s="60">
        <v>45875</v>
      </c>
      <c r="C13" s="78" t="s">
        <v>75</v>
      </c>
      <c r="D13" s="196">
        <v>-11.61</v>
      </c>
      <c r="E13" s="190">
        <f t="shared" si="0"/>
        <v>-7.7100000000000009</v>
      </c>
      <c r="F13" s="312" t="s">
        <v>76</v>
      </c>
      <c r="G13" s="313"/>
    </row>
    <row r="14" spans="1:7" ht="25" customHeight="1">
      <c r="A14" s="29"/>
      <c r="B14" s="29" t="s">
        <v>64</v>
      </c>
      <c r="C14" s="35" t="s">
        <v>39</v>
      </c>
      <c r="D14" s="187"/>
      <c r="E14" s="187"/>
      <c r="F14" s="35"/>
    </row>
    <row r="15" spans="1:7" ht="25" customHeight="1">
      <c r="A15" s="30" t="s">
        <v>33</v>
      </c>
      <c r="B15" s="30" t="s">
        <v>34</v>
      </c>
      <c r="C15" s="78" t="s">
        <v>35</v>
      </c>
      <c r="D15" s="188" t="s">
        <v>36</v>
      </c>
      <c r="E15" s="188" t="s">
        <v>37</v>
      </c>
      <c r="F15" s="94" t="s">
        <v>38</v>
      </c>
      <c r="G15" s="95"/>
    </row>
    <row r="16" spans="1:7" ht="25" customHeight="1">
      <c r="A16" s="60"/>
      <c r="B16" s="60">
        <v>45876</v>
      </c>
      <c r="C16" s="66" t="s">
        <v>77</v>
      </c>
      <c r="D16" s="196">
        <v>10</v>
      </c>
      <c r="E16" s="191">
        <f>E13+D16</f>
        <v>2.2899999999999991</v>
      </c>
      <c r="F16" s="307" t="s">
        <v>73</v>
      </c>
      <c r="G16" s="307"/>
    </row>
    <row r="17" spans="1:13" s="92" customFormat="1" ht="25" customHeight="1">
      <c r="A17" s="60">
        <v>45882</v>
      </c>
      <c r="B17" s="60">
        <v>45882</v>
      </c>
      <c r="C17" s="93" t="s">
        <v>78</v>
      </c>
      <c r="D17" s="193">
        <f>G17*-1%</f>
        <v>0</v>
      </c>
      <c r="E17" s="152">
        <f>E16+D17</f>
        <v>2.2899999999999991</v>
      </c>
      <c r="F17" s="118" t="s">
        <v>51</v>
      </c>
      <c r="G17" s="51">
        <v>0</v>
      </c>
    </row>
    <row r="18" spans="1:13" ht="25" customHeight="1">
      <c r="A18" s="29"/>
      <c r="B18" s="29" t="s">
        <v>64</v>
      </c>
      <c r="C18" s="35" t="s">
        <v>39</v>
      </c>
      <c r="D18" s="187"/>
      <c r="E18" s="187"/>
      <c r="F18" s="35"/>
    </row>
    <row r="19" spans="1:13" ht="25" customHeight="1">
      <c r="A19" s="30" t="s">
        <v>33</v>
      </c>
      <c r="B19" s="30" t="s">
        <v>34</v>
      </c>
      <c r="C19" s="78" t="s">
        <v>35</v>
      </c>
      <c r="D19" s="188" t="s">
        <v>36</v>
      </c>
      <c r="E19" s="188" t="s">
        <v>37</v>
      </c>
      <c r="F19" s="94" t="s">
        <v>38</v>
      </c>
      <c r="G19" s="95"/>
    </row>
    <row r="20" spans="1:13" s="92" customFormat="1" ht="25" customHeight="1">
      <c r="A20" s="60">
        <v>45882</v>
      </c>
      <c r="B20" s="60">
        <v>45882</v>
      </c>
      <c r="C20" s="36" t="s">
        <v>58</v>
      </c>
      <c r="D20" s="152">
        <f>G20*-1%</f>
        <v>0</v>
      </c>
      <c r="E20" s="152">
        <f>E17+D20</f>
        <v>2.2899999999999991</v>
      </c>
      <c r="F20" s="36" t="s">
        <v>40</v>
      </c>
      <c r="G20" s="36">
        <v>0</v>
      </c>
    </row>
    <row r="21" spans="1:13" s="92" customFormat="1" ht="25" customHeight="1">
      <c r="A21" s="60">
        <v>45889</v>
      </c>
      <c r="B21" s="60">
        <v>45889</v>
      </c>
      <c r="C21" s="93" t="s">
        <v>124</v>
      </c>
      <c r="D21" s="192">
        <f>G21*-1%</f>
        <v>-1</v>
      </c>
      <c r="E21" s="152">
        <f t="shared" ref="E21:E34" si="1">E20+D21</f>
        <v>1.2899999999999991</v>
      </c>
      <c r="F21" s="118" t="s">
        <v>51</v>
      </c>
      <c r="G21" s="51">
        <v>100</v>
      </c>
      <c r="M21" s="2"/>
    </row>
    <row r="22" spans="1:13" s="92" customFormat="1" ht="25" customHeight="1">
      <c r="A22" s="60">
        <v>45889</v>
      </c>
      <c r="B22" s="60">
        <v>45889</v>
      </c>
      <c r="C22" s="36" t="s">
        <v>58</v>
      </c>
      <c r="D22" s="189">
        <f>G22*-1%</f>
        <v>-0.5</v>
      </c>
      <c r="E22" s="152">
        <f t="shared" si="1"/>
        <v>0.78999999999999915</v>
      </c>
      <c r="F22" s="36" t="s">
        <v>40</v>
      </c>
      <c r="G22" s="36">
        <v>50</v>
      </c>
      <c r="M22" s="2"/>
    </row>
    <row r="23" spans="1:13" ht="25" customHeight="1">
      <c r="A23" s="29"/>
      <c r="B23" s="29" t="s">
        <v>64</v>
      </c>
      <c r="C23" s="35" t="s">
        <v>39</v>
      </c>
      <c r="D23" s="187"/>
      <c r="E23" s="187"/>
      <c r="F23" s="35"/>
    </row>
    <row r="24" spans="1:13" ht="25" customHeight="1">
      <c r="A24" s="30" t="s">
        <v>33</v>
      </c>
      <c r="B24" s="30" t="s">
        <v>34</v>
      </c>
      <c r="C24" s="78" t="s">
        <v>35</v>
      </c>
      <c r="D24" s="188" t="s">
        <v>36</v>
      </c>
      <c r="E24" s="188" t="s">
        <v>37</v>
      </c>
      <c r="F24" s="94" t="s">
        <v>38</v>
      </c>
      <c r="G24" s="95"/>
    </row>
    <row r="25" spans="1:13" s="92" customFormat="1" ht="25" customHeight="1">
      <c r="A25" s="60">
        <v>45889</v>
      </c>
      <c r="B25" s="60">
        <v>45889</v>
      </c>
      <c r="C25" s="295" t="s">
        <v>125</v>
      </c>
      <c r="D25" s="196">
        <v>50</v>
      </c>
      <c r="E25" s="152">
        <f>E22+D25</f>
        <v>50.79</v>
      </c>
      <c r="F25" s="314" t="s">
        <v>63</v>
      </c>
      <c r="G25" s="315"/>
      <c r="M25" s="2"/>
    </row>
    <row r="26" spans="1:13" s="92" customFormat="1" ht="25" customHeight="1">
      <c r="A26" s="60">
        <v>45889</v>
      </c>
      <c r="B26" s="60">
        <v>45889</v>
      </c>
      <c r="C26" s="83" t="s">
        <v>125</v>
      </c>
      <c r="D26" s="196">
        <v>50</v>
      </c>
      <c r="E26" s="152">
        <f t="shared" si="1"/>
        <v>100.78999999999999</v>
      </c>
      <c r="F26" s="314" t="s">
        <v>126</v>
      </c>
      <c r="G26" s="315"/>
      <c r="M26" s="2"/>
    </row>
    <row r="27" spans="1:13" s="92" customFormat="1" ht="25" customHeight="1">
      <c r="A27" s="32"/>
      <c r="B27" s="65">
        <v>45890</v>
      </c>
      <c r="C27" s="93" t="s">
        <v>127</v>
      </c>
      <c r="D27" s="192">
        <v>-100</v>
      </c>
      <c r="E27" s="152">
        <f t="shared" si="1"/>
        <v>0.78999999999999204</v>
      </c>
      <c r="F27" s="308" t="s">
        <v>52</v>
      </c>
      <c r="G27" s="309"/>
      <c r="M27" s="2"/>
    </row>
    <row r="28" spans="1:13" ht="25" customHeight="1">
      <c r="A28" s="60"/>
      <c r="B28" s="60">
        <v>45896</v>
      </c>
      <c r="C28" s="66" t="s">
        <v>77</v>
      </c>
      <c r="D28" s="196">
        <v>15</v>
      </c>
      <c r="E28" s="152">
        <f t="shared" si="1"/>
        <v>15.789999999999992</v>
      </c>
      <c r="F28" s="307" t="s">
        <v>73</v>
      </c>
      <c r="G28" s="307"/>
    </row>
    <row r="29" spans="1:13" ht="25" customHeight="1">
      <c r="A29" s="29"/>
      <c r="B29" s="29" t="s">
        <v>64</v>
      </c>
      <c r="C29" s="35" t="s">
        <v>39</v>
      </c>
      <c r="D29" s="187"/>
      <c r="E29" s="187"/>
      <c r="F29" s="35"/>
    </row>
    <row r="30" spans="1:13" ht="25" customHeight="1">
      <c r="A30" s="30" t="s">
        <v>33</v>
      </c>
      <c r="B30" s="30" t="s">
        <v>34</v>
      </c>
      <c r="C30" s="78" t="s">
        <v>35</v>
      </c>
      <c r="D30" s="188" t="s">
        <v>36</v>
      </c>
      <c r="E30" s="188" t="s">
        <v>37</v>
      </c>
      <c r="F30" s="94" t="s">
        <v>38</v>
      </c>
      <c r="G30" s="95"/>
    </row>
    <row r="31" spans="1:13" ht="25" customHeight="1">
      <c r="A31" s="60"/>
      <c r="B31" s="60">
        <v>45896</v>
      </c>
      <c r="C31" s="66" t="s">
        <v>128</v>
      </c>
      <c r="D31" s="195">
        <v>-11.61</v>
      </c>
      <c r="E31" s="152">
        <f>E28+D31</f>
        <v>4.1799999999999926</v>
      </c>
      <c r="F31" s="307" t="s">
        <v>129</v>
      </c>
      <c r="G31" s="307"/>
    </row>
    <row r="32" spans="1:13" ht="25" customHeight="1">
      <c r="A32" s="60">
        <v>45917</v>
      </c>
      <c r="B32" s="60">
        <v>45917</v>
      </c>
      <c r="C32" s="66" t="s">
        <v>133</v>
      </c>
      <c r="D32" s="189">
        <f>G32*-1%</f>
        <v>-0.5</v>
      </c>
      <c r="E32" s="152">
        <f t="shared" si="1"/>
        <v>3.6799999999999926</v>
      </c>
      <c r="F32" s="51" t="s">
        <v>51</v>
      </c>
      <c r="G32" s="51">
        <v>50</v>
      </c>
    </row>
    <row r="33" spans="1:7" ht="25" customHeight="1">
      <c r="A33" s="60">
        <v>45917</v>
      </c>
      <c r="B33" s="60">
        <v>45917</v>
      </c>
      <c r="C33" s="36" t="s">
        <v>134</v>
      </c>
      <c r="D33" s="196">
        <v>50</v>
      </c>
      <c r="E33" s="152">
        <f t="shared" si="1"/>
        <v>53.679999999999993</v>
      </c>
      <c r="F33" s="307" t="s">
        <v>126</v>
      </c>
      <c r="G33" s="307"/>
    </row>
    <row r="34" spans="1:7" ht="25" customHeight="1">
      <c r="A34" s="60"/>
      <c r="B34" s="60">
        <v>45918</v>
      </c>
      <c r="C34" s="66" t="s">
        <v>72</v>
      </c>
      <c r="D34" s="195">
        <v>-50</v>
      </c>
      <c r="E34" s="152">
        <f t="shared" si="1"/>
        <v>3.6799999999999926</v>
      </c>
      <c r="F34" s="307" t="s">
        <v>73</v>
      </c>
      <c r="G34" s="307"/>
    </row>
  </sheetData>
  <mergeCells count="10">
    <mergeCell ref="F11:G11"/>
    <mergeCell ref="F13:G13"/>
    <mergeCell ref="F16:G16"/>
    <mergeCell ref="F25:G25"/>
    <mergeCell ref="F26:G26"/>
    <mergeCell ref="F34:G34"/>
    <mergeCell ref="F33:G33"/>
    <mergeCell ref="F31:G31"/>
    <mergeCell ref="F28:G28"/>
    <mergeCell ref="F27:G2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S55"/>
  <sheetViews>
    <sheetView workbookViewId="0">
      <selection activeCell="AB3" sqref="AB3"/>
    </sheetView>
  </sheetViews>
  <sheetFormatPr defaultColWidth="10.6328125" defaultRowHeight="17"/>
  <sheetData>
    <row r="1" spans="1:44">
      <c r="F1" s="44"/>
      <c r="G1" s="43"/>
      <c r="H1" s="43"/>
      <c r="I1" s="43"/>
      <c r="J1" s="43"/>
      <c r="K1" s="43"/>
      <c r="L1" s="122"/>
      <c r="M1" s="43"/>
      <c r="N1" s="43"/>
      <c r="O1" s="43"/>
      <c r="P1" s="43"/>
      <c r="Q1" s="43"/>
      <c r="R1" s="122"/>
      <c r="S1" s="43"/>
      <c r="T1" s="43"/>
      <c r="U1" s="43"/>
      <c r="V1" s="43"/>
      <c r="W1" s="43"/>
      <c r="X1" s="122"/>
      <c r="AA1" s="28" t="s">
        <v>32</v>
      </c>
      <c r="AB1" s="28" t="s">
        <v>56</v>
      </c>
      <c r="AC1" s="28" t="s">
        <v>57</v>
      </c>
      <c r="AD1" s="44"/>
      <c r="AJ1" s="44"/>
    </row>
    <row r="2" spans="1:44">
      <c r="A2" s="29" t="s">
        <v>14</v>
      </c>
      <c r="B2" s="29"/>
      <c r="C2" s="35" t="s">
        <v>49</v>
      </c>
      <c r="D2" s="200" t="s">
        <v>60</v>
      </c>
      <c r="E2" s="35"/>
      <c r="F2" s="44"/>
      <c r="H2" s="113">
        <v>2025</v>
      </c>
      <c r="I2" s="42">
        <f>SUM(C21:AJ21,A42:AJ42)</f>
        <v>980</v>
      </c>
      <c r="J2" s="43"/>
      <c r="K2" s="43"/>
      <c r="L2" s="122"/>
      <c r="M2" s="43" t="s">
        <v>15</v>
      </c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2">
        <f>SUM(22:22,43:43)</f>
        <v>13.899999999999999</v>
      </c>
      <c r="AB2" s="43">
        <f>C45+I45</f>
        <v>1.5</v>
      </c>
      <c r="AC2" s="156">
        <f>SUM(AA2:AB2)</f>
        <v>15.399999999999999</v>
      </c>
      <c r="AD2" s="122"/>
      <c r="AJ2" s="44"/>
    </row>
    <row r="3" spans="1:44">
      <c r="A3" s="29"/>
      <c r="B3" s="29"/>
      <c r="C3" s="29"/>
      <c r="D3" s="201" t="s">
        <v>61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44">
      <c r="A4" s="123" t="s">
        <v>16</v>
      </c>
      <c r="B4" s="124"/>
      <c r="C4" s="124"/>
      <c r="D4" s="124"/>
      <c r="E4" s="124"/>
      <c r="F4" s="125"/>
      <c r="G4" s="126" t="s">
        <v>17</v>
      </c>
      <c r="H4" s="49"/>
      <c r="I4" s="49"/>
      <c r="J4" s="49"/>
      <c r="K4" s="49"/>
      <c r="L4" s="50"/>
      <c r="M4" s="48" t="s">
        <v>18</v>
      </c>
      <c r="N4" s="49"/>
      <c r="O4" s="49"/>
      <c r="P4" s="49"/>
      <c r="Q4" s="49"/>
      <c r="R4" s="50"/>
      <c r="S4" s="126" t="s">
        <v>19</v>
      </c>
      <c r="T4" s="49"/>
      <c r="U4" s="49"/>
      <c r="V4" s="49"/>
      <c r="W4" s="49"/>
      <c r="X4" s="85"/>
      <c r="Y4" s="48" t="s">
        <v>20</v>
      </c>
      <c r="Z4" s="49"/>
      <c r="AA4" s="49"/>
      <c r="AB4" s="49"/>
      <c r="AC4" s="49"/>
      <c r="AD4" s="50"/>
      <c r="AE4" s="48" t="s">
        <v>21</v>
      </c>
      <c r="AF4" s="49"/>
      <c r="AG4" s="49"/>
      <c r="AH4" s="49"/>
      <c r="AI4" s="49"/>
      <c r="AJ4" s="50"/>
    </row>
    <row r="5" spans="1:44">
      <c r="A5" s="127" t="s">
        <v>22</v>
      </c>
      <c r="B5" s="57" t="s">
        <v>1</v>
      </c>
      <c r="C5" s="57" t="s">
        <v>2</v>
      </c>
      <c r="D5" s="57" t="s">
        <v>23</v>
      </c>
      <c r="E5" s="57" t="s">
        <v>24</v>
      </c>
      <c r="F5" s="128" t="s">
        <v>25</v>
      </c>
      <c r="G5" s="56" t="s">
        <v>22</v>
      </c>
      <c r="H5" s="57" t="s">
        <v>1</v>
      </c>
      <c r="I5" s="57" t="s">
        <v>2</v>
      </c>
      <c r="J5" s="49" t="s">
        <v>23</v>
      </c>
      <c r="K5" s="57" t="s">
        <v>24</v>
      </c>
      <c r="L5" s="128" t="s">
        <v>25</v>
      </c>
      <c r="M5" s="53" t="s">
        <v>22</v>
      </c>
      <c r="N5" s="54" t="s">
        <v>1</v>
      </c>
      <c r="O5" s="54" t="s">
        <v>2</v>
      </c>
      <c r="P5" s="54" t="s">
        <v>23</v>
      </c>
      <c r="Q5" s="54" t="s">
        <v>24</v>
      </c>
      <c r="R5" s="140" t="s">
        <v>25</v>
      </c>
      <c r="S5" s="56" t="s">
        <v>22</v>
      </c>
      <c r="T5" s="57" t="s">
        <v>1</v>
      </c>
      <c r="U5" s="57" t="s">
        <v>2</v>
      </c>
      <c r="V5" s="57" t="s">
        <v>23</v>
      </c>
      <c r="W5" s="57" t="s">
        <v>24</v>
      </c>
      <c r="X5" s="139" t="s">
        <v>25</v>
      </c>
      <c r="Y5" s="53" t="s">
        <v>22</v>
      </c>
      <c r="Z5" s="54" t="s">
        <v>1</v>
      </c>
      <c r="AA5" s="54" t="s">
        <v>2</v>
      </c>
      <c r="AB5" s="54" t="s">
        <v>23</v>
      </c>
      <c r="AC5" s="54" t="s">
        <v>24</v>
      </c>
      <c r="AD5" s="140" t="s">
        <v>25</v>
      </c>
      <c r="AE5" s="59" t="s">
        <v>22</v>
      </c>
      <c r="AF5" s="49" t="s">
        <v>1</v>
      </c>
      <c r="AG5" s="49" t="s">
        <v>2</v>
      </c>
      <c r="AH5" s="49" t="s">
        <v>23</v>
      </c>
      <c r="AI5" s="49" t="s">
        <v>24</v>
      </c>
      <c r="AJ5" s="141" t="s">
        <v>25</v>
      </c>
    </row>
    <row r="6" spans="1:44">
      <c r="A6" s="86"/>
      <c r="B6" s="61"/>
      <c r="C6" s="202"/>
      <c r="D6" s="203"/>
      <c r="E6" s="61"/>
      <c r="F6" s="204"/>
      <c r="G6" s="205"/>
      <c r="H6" s="206"/>
      <c r="I6" s="207"/>
      <c r="J6" s="73"/>
      <c r="K6" s="208"/>
      <c r="L6" s="204"/>
      <c r="M6" s="170"/>
      <c r="N6" s="171"/>
      <c r="O6" s="171"/>
      <c r="P6" s="171"/>
      <c r="Q6" s="171"/>
      <c r="R6" s="172"/>
      <c r="S6" s="86"/>
      <c r="T6" s="110"/>
      <c r="U6" s="175"/>
      <c r="V6" s="175"/>
      <c r="W6" s="61"/>
      <c r="X6" s="62"/>
      <c r="Y6" s="209"/>
      <c r="Z6" s="210"/>
      <c r="AA6" s="211"/>
      <c r="AB6" s="212"/>
      <c r="AC6" s="213"/>
      <c r="AD6" s="214"/>
      <c r="AE6" s="34"/>
      <c r="AF6" s="36"/>
      <c r="AG6" s="100"/>
      <c r="AH6" s="36"/>
      <c r="AI6" s="36"/>
      <c r="AJ6" s="90"/>
    </row>
    <row r="7" spans="1:44">
      <c r="A7" s="31"/>
      <c r="B7" s="36"/>
      <c r="C7" s="67"/>
      <c r="D7" s="74"/>
      <c r="E7" s="36"/>
      <c r="F7" s="71"/>
      <c r="G7" s="72"/>
      <c r="H7" s="215"/>
      <c r="I7" s="88"/>
      <c r="J7" s="74"/>
      <c r="K7" s="74"/>
      <c r="L7" s="216"/>
      <c r="M7" s="79"/>
      <c r="N7" s="102"/>
      <c r="O7" s="148"/>
      <c r="P7" s="102"/>
      <c r="Q7" s="102"/>
      <c r="R7" s="173"/>
      <c r="S7" s="31"/>
      <c r="T7" s="1"/>
      <c r="U7" s="97"/>
      <c r="V7" s="97"/>
      <c r="W7" s="36"/>
      <c r="X7" s="37"/>
      <c r="Y7" s="159"/>
      <c r="Z7" s="160"/>
      <c r="AA7" s="161"/>
      <c r="AB7" s="161"/>
      <c r="AC7" s="157"/>
      <c r="AD7" s="162"/>
      <c r="AE7" s="150"/>
      <c r="AF7" s="38"/>
      <c r="AG7" s="194"/>
      <c r="AH7" s="36"/>
      <c r="AI7" s="39"/>
      <c r="AJ7" s="37"/>
    </row>
    <row r="8" spans="1:44">
      <c r="A8" s="31"/>
      <c r="B8" s="51"/>
      <c r="C8" s="67"/>
      <c r="D8" s="74"/>
      <c r="E8" s="36"/>
      <c r="F8" s="71"/>
      <c r="G8" s="31"/>
      <c r="H8" s="36"/>
      <c r="I8" s="96"/>
      <c r="J8" s="36"/>
      <c r="K8" s="96"/>
      <c r="L8" s="37"/>
      <c r="M8" s="79"/>
      <c r="N8" s="102"/>
      <c r="O8" s="102"/>
      <c r="P8" s="102"/>
      <c r="Q8" s="102"/>
      <c r="R8" s="173"/>
      <c r="S8" s="31"/>
      <c r="T8" s="1"/>
      <c r="U8" s="88"/>
      <c r="V8" s="88"/>
      <c r="W8" s="36"/>
      <c r="X8" s="37"/>
      <c r="Y8" s="159"/>
      <c r="Z8" s="157"/>
      <c r="AA8" s="158"/>
      <c r="AB8" s="157"/>
      <c r="AC8" s="157"/>
      <c r="AD8" s="162"/>
      <c r="AE8" s="150"/>
      <c r="AF8" s="51"/>
      <c r="AG8" s="105"/>
      <c r="AH8" s="36"/>
      <c r="AI8" s="36"/>
      <c r="AJ8" s="90"/>
    </row>
    <row r="9" spans="1:44">
      <c r="A9" s="31"/>
      <c r="B9" s="36"/>
      <c r="C9" s="88"/>
      <c r="D9" s="74"/>
      <c r="E9" s="36"/>
      <c r="F9" s="71"/>
      <c r="G9" s="169"/>
      <c r="H9" s="77"/>
      <c r="I9" s="149"/>
      <c r="J9" s="77"/>
      <c r="K9" s="77"/>
      <c r="L9" s="174"/>
      <c r="M9" s="31"/>
      <c r="N9" s="119"/>
      <c r="O9" s="36"/>
      <c r="P9" s="77"/>
      <c r="Q9" s="77"/>
      <c r="R9" s="174"/>
      <c r="S9" s="31"/>
      <c r="T9" s="36"/>
      <c r="U9" s="36"/>
      <c r="V9" s="36"/>
      <c r="W9" s="36"/>
      <c r="X9" s="132"/>
      <c r="Y9" s="159"/>
      <c r="Z9" s="158"/>
      <c r="AA9" s="158"/>
      <c r="AB9" s="163"/>
      <c r="AC9" s="157"/>
      <c r="AD9" s="162"/>
      <c r="AE9" s="150"/>
      <c r="AF9" s="51"/>
      <c r="AG9" s="105"/>
      <c r="AH9" s="36"/>
      <c r="AI9" s="36"/>
      <c r="AJ9" s="90"/>
    </row>
    <row r="10" spans="1:44">
      <c r="A10" s="31"/>
      <c r="B10" s="36"/>
      <c r="C10" s="88"/>
      <c r="D10" s="74"/>
      <c r="E10" s="36"/>
      <c r="F10" s="71"/>
      <c r="G10" s="31"/>
      <c r="H10" s="93"/>
      <c r="I10" s="36"/>
      <c r="J10" s="87"/>
      <c r="K10" s="36"/>
      <c r="L10" s="37"/>
      <c r="M10" s="31"/>
      <c r="N10" s="36"/>
      <c r="O10" s="36"/>
      <c r="P10" s="36"/>
      <c r="Q10" s="77"/>
      <c r="R10" s="174"/>
      <c r="S10" s="31"/>
      <c r="T10" s="36"/>
      <c r="U10" s="36"/>
      <c r="V10" s="36"/>
      <c r="W10" s="36"/>
      <c r="X10" s="37"/>
      <c r="Y10" s="159"/>
      <c r="Z10" s="157"/>
      <c r="AA10" s="157"/>
      <c r="AB10" s="157"/>
      <c r="AC10" s="157"/>
      <c r="AD10" s="162"/>
      <c r="AE10" s="58"/>
      <c r="AF10" s="36"/>
      <c r="AG10" s="105"/>
      <c r="AH10" s="36"/>
      <c r="AI10" s="36"/>
      <c r="AJ10" s="90"/>
      <c r="AM10" s="29"/>
      <c r="AN10" s="35"/>
      <c r="AO10" s="35"/>
      <c r="AP10" s="109"/>
      <c r="AQ10" s="35"/>
      <c r="AR10" s="109"/>
    </row>
    <row r="11" spans="1:44">
      <c r="A11" s="31"/>
      <c r="B11" s="36"/>
      <c r="C11" s="217"/>
      <c r="D11" s="74"/>
      <c r="E11" s="67"/>
      <c r="F11" s="71"/>
      <c r="G11" s="63"/>
      <c r="H11" s="39"/>
      <c r="I11" s="39"/>
      <c r="J11" s="87"/>
      <c r="K11" s="39"/>
      <c r="L11" s="134"/>
      <c r="M11" s="31"/>
      <c r="N11" s="36"/>
      <c r="O11" s="36"/>
      <c r="P11" s="51"/>
      <c r="Q11" s="36"/>
      <c r="R11" s="132"/>
      <c r="S11" s="69"/>
      <c r="T11" s="93"/>
      <c r="U11" s="93"/>
      <c r="V11" s="87"/>
      <c r="W11" s="93"/>
      <c r="X11" s="151"/>
      <c r="Y11" s="159"/>
      <c r="Z11" s="166"/>
      <c r="AA11" s="166"/>
      <c r="AB11" s="166"/>
      <c r="AC11" s="157"/>
      <c r="AD11" s="162"/>
      <c r="AE11" s="58"/>
      <c r="AF11" s="36"/>
      <c r="AG11" s="105"/>
      <c r="AH11" s="36"/>
      <c r="AI11" s="36"/>
      <c r="AJ11" s="90"/>
      <c r="AM11" s="29"/>
      <c r="AN11" s="35"/>
      <c r="AO11" s="35"/>
      <c r="AP11" s="109"/>
      <c r="AQ11" s="35"/>
      <c r="AR11" s="109"/>
    </row>
    <row r="12" spans="1:44">
      <c r="A12" s="31"/>
      <c r="B12" s="36"/>
      <c r="C12" s="70"/>
      <c r="D12" s="36"/>
      <c r="E12" s="36"/>
      <c r="F12" s="37"/>
      <c r="G12" s="31"/>
      <c r="H12" s="36"/>
      <c r="I12" s="36"/>
      <c r="J12" s="87"/>
      <c r="K12" s="36"/>
      <c r="L12" s="132"/>
      <c r="M12" s="31"/>
      <c r="N12" s="36"/>
      <c r="O12" s="36"/>
      <c r="P12" s="36"/>
      <c r="Q12" s="36"/>
      <c r="R12" s="132"/>
      <c r="S12" s="31"/>
      <c r="T12" s="36"/>
      <c r="U12" s="36"/>
      <c r="V12" s="87"/>
      <c r="W12" s="36"/>
      <c r="X12" s="151"/>
      <c r="Y12" s="159"/>
      <c r="Z12" s="157"/>
      <c r="AA12" s="158"/>
      <c r="AB12" s="167"/>
      <c r="AC12" s="157"/>
      <c r="AD12" s="162"/>
      <c r="AE12" s="101"/>
      <c r="AF12" s="74"/>
      <c r="AG12" s="74"/>
      <c r="AH12" s="74"/>
      <c r="AI12" s="74"/>
      <c r="AJ12" s="216"/>
      <c r="AM12" s="29"/>
      <c r="AN12" s="89"/>
      <c r="AO12" s="35"/>
      <c r="AP12" s="109"/>
      <c r="AQ12" s="35"/>
      <c r="AR12" s="109"/>
    </row>
    <row r="13" spans="1:44">
      <c r="A13" s="31"/>
      <c r="B13" s="36"/>
      <c r="C13" s="70"/>
      <c r="D13" s="36"/>
      <c r="E13" s="36"/>
      <c r="F13" s="37"/>
      <c r="G13" s="31"/>
      <c r="H13" s="36"/>
      <c r="I13" s="36"/>
      <c r="J13" s="36"/>
      <c r="K13" s="36"/>
      <c r="L13" s="132"/>
      <c r="M13" s="31"/>
      <c r="N13" s="36"/>
      <c r="O13" s="36"/>
      <c r="P13" s="36"/>
      <c r="Q13" s="36"/>
      <c r="R13" s="132"/>
      <c r="S13" s="31"/>
      <c r="T13" s="36"/>
      <c r="U13" s="36"/>
      <c r="V13" s="87"/>
      <c r="W13" s="36"/>
      <c r="X13" s="151"/>
      <c r="Y13" s="146"/>
      <c r="Z13" s="106"/>
      <c r="AA13" s="100"/>
      <c r="AB13" s="145"/>
      <c r="AC13" s="36"/>
      <c r="AD13" s="132"/>
      <c r="AE13" s="101"/>
      <c r="AF13" s="74"/>
      <c r="AG13" s="74"/>
      <c r="AH13" s="74"/>
      <c r="AI13" s="36"/>
      <c r="AJ13" s="216"/>
      <c r="AM13" s="35"/>
      <c r="AN13" s="35"/>
      <c r="AO13" s="35"/>
      <c r="AP13" s="35"/>
      <c r="AQ13" s="35"/>
      <c r="AR13" s="35"/>
    </row>
    <row r="14" spans="1:44">
      <c r="A14" s="31"/>
      <c r="B14" s="36"/>
      <c r="C14" s="70"/>
      <c r="D14" s="36"/>
      <c r="E14" s="36"/>
      <c r="F14" s="37"/>
      <c r="G14" s="31"/>
      <c r="H14" s="36"/>
      <c r="I14" s="36"/>
      <c r="J14" s="36"/>
      <c r="K14" s="36"/>
      <c r="L14" s="132"/>
      <c r="M14" s="31"/>
      <c r="N14" s="36"/>
      <c r="O14" s="36"/>
      <c r="P14" s="36"/>
      <c r="Q14" s="36"/>
      <c r="R14" s="132"/>
      <c r="S14" s="31"/>
      <c r="T14" s="36"/>
      <c r="U14" s="36"/>
      <c r="V14" s="36"/>
      <c r="W14" s="36"/>
      <c r="X14" s="132"/>
      <c r="Y14" s="146"/>
      <c r="Z14" s="36"/>
      <c r="AA14" s="100"/>
      <c r="AB14" s="36"/>
      <c r="AC14" s="36"/>
      <c r="AD14" s="90"/>
      <c r="AE14" s="34"/>
      <c r="AF14" s="39"/>
      <c r="AG14" s="39"/>
      <c r="AH14" s="36"/>
      <c r="AI14" s="39"/>
      <c r="AJ14" s="37"/>
    </row>
    <row r="15" spans="1:44">
      <c r="A15" s="31"/>
      <c r="B15" s="51"/>
      <c r="C15" s="80"/>
      <c r="D15" s="67"/>
      <c r="E15" s="36"/>
      <c r="F15" s="37"/>
      <c r="G15" s="31"/>
      <c r="H15" s="36"/>
      <c r="I15" s="36"/>
      <c r="J15" s="36"/>
      <c r="K15" s="36"/>
      <c r="L15" s="132"/>
      <c r="M15" s="31"/>
      <c r="N15" s="36"/>
      <c r="O15" s="36"/>
      <c r="P15" s="36"/>
      <c r="Q15" s="36"/>
      <c r="R15" s="132"/>
      <c r="S15" s="31"/>
      <c r="T15" s="36"/>
      <c r="U15" s="36"/>
      <c r="V15" s="36"/>
      <c r="W15" s="36"/>
      <c r="X15" s="132"/>
      <c r="Y15" s="146"/>
      <c r="Z15" s="106"/>
      <c r="AA15" s="107"/>
      <c r="AB15" s="133"/>
      <c r="AC15" s="36"/>
      <c r="AD15" s="132"/>
      <c r="AE15" s="34"/>
      <c r="AF15" s="36"/>
      <c r="AG15" s="100"/>
      <c r="AH15" s="36"/>
      <c r="AI15" s="36"/>
      <c r="AJ15" s="90"/>
      <c r="AK15" s="109"/>
    </row>
    <row r="16" spans="1:44">
      <c r="A16" s="76"/>
      <c r="B16" s="36"/>
      <c r="C16" s="75"/>
      <c r="D16" s="75"/>
      <c r="E16" s="36"/>
      <c r="F16" s="37"/>
      <c r="G16" s="31"/>
      <c r="H16" s="36"/>
      <c r="I16" s="36"/>
      <c r="J16" s="36"/>
      <c r="K16" s="36"/>
      <c r="L16" s="132"/>
      <c r="M16" s="31"/>
      <c r="N16" s="36"/>
      <c r="O16" s="36"/>
      <c r="P16" s="36"/>
      <c r="Q16" s="36"/>
      <c r="R16" s="132"/>
      <c r="S16" s="31"/>
      <c r="T16" s="36"/>
      <c r="U16" s="36"/>
      <c r="V16" s="36"/>
      <c r="W16" s="36"/>
      <c r="X16" s="132"/>
      <c r="Y16" s="31"/>
      <c r="Z16" s="36"/>
      <c r="AA16" s="100"/>
      <c r="AB16" s="36"/>
      <c r="AC16" s="36"/>
      <c r="AD16" s="132"/>
      <c r="AE16" s="58"/>
      <c r="AF16" s="36"/>
      <c r="AG16" s="36"/>
      <c r="AH16" s="36"/>
      <c r="AI16" s="36"/>
      <c r="AJ16" s="132"/>
      <c r="AK16" s="35"/>
      <c r="AL16" s="35"/>
      <c r="AM16" s="35"/>
      <c r="AN16" s="35"/>
    </row>
    <row r="17" spans="1:45">
      <c r="A17" s="31"/>
      <c r="B17" s="36"/>
      <c r="C17" s="36"/>
      <c r="D17" s="36"/>
      <c r="E17" s="36"/>
      <c r="F17" s="132"/>
      <c r="G17" s="31"/>
      <c r="H17" s="1"/>
      <c r="I17" s="114"/>
      <c r="J17" s="135"/>
      <c r="K17" s="36"/>
      <c r="L17" s="37"/>
      <c r="M17" s="31"/>
      <c r="N17" s="36"/>
      <c r="O17" s="36"/>
      <c r="P17" s="36"/>
      <c r="Q17" s="36"/>
      <c r="R17" s="132"/>
      <c r="S17" s="31"/>
      <c r="T17" s="36"/>
      <c r="U17" s="36"/>
      <c r="V17" s="36"/>
      <c r="W17" s="36"/>
      <c r="X17" s="132"/>
      <c r="Y17" s="31"/>
      <c r="Z17" s="36"/>
      <c r="AA17" s="1"/>
      <c r="AB17" s="36"/>
      <c r="AC17" s="36"/>
      <c r="AD17" s="132"/>
      <c r="AE17" s="58"/>
      <c r="AF17" s="36"/>
      <c r="AG17" s="36"/>
      <c r="AH17" s="36"/>
      <c r="AI17" s="36"/>
      <c r="AJ17" s="132"/>
      <c r="AK17" s="35"/>
      <c r="AL17" s="35"/>
    </row>
    <row r="18" spans="1:45">
      <c r="A18" s="31"/>
      <c r="B18" s="36"/>
      <c r="C18" s="36"/>
      <c r="D18" s="36"/>
      <c r="E18" s="36"/>
      <c r="F18" s="132"/>
      <c r="G18" s="31"/>
      <c r="H18" s="1"/>
      <c r="I18" s="114"/>
      <c r="J18" s="135"/>
      <c r="K18" s="36"/>
      <c r="L18" s="37"/>
      <c r="M18" s="31"/>
      <c r="N18" s="36"/>
      <c r="O18" s="36"/>
      <c r="P18" s="36"/>
      <c r="Q18" s="36"/>
      <c r="R18" s="132"/>
      <c r="S18" s="31"/>
      <c r="T18" s="36"/>
      <c r="U18" s="36"/>
      <c r="V18" s="36"/>
      <c r="W18" s="36"/>
      <c r="X18" s="132"/>
      <c r="Y18" s="31"/>
      <c r="Z18" s="36"/>
      <c r="AA18" s="1"/>
      <c r="AB18" s="36"/>
      <c r="AC18" s="36"/>
      <c r="AD18" s="132"/>
      <c r="AE18" s="58"/>
      <c r="AF18" s="36"/>
      <c r="AG18" s="36"/>
      <c r="AH18" s="36"/>
      <c r="AI18" s="36"/>
      <c r="AJ18" s="132"/>
    </row>
    <row r="19" spans="1:45">
      <c r="A19" s="31"/>
      <c r="B19" s="36"/>
      <c r="C19" s="36"/>
      <c r="D19" s="36"/>
      <c r="E19" s="36"/>
      <c r="F19" s="132"/>
      <c r="G19" s="31"/>
      <c r="H19" s="36"/>
      <c r="I19" s="152"/>
      <c r="J19" s="36"/>
      <c r="K19" s="36"/>
      <c r="L19" s="132"/>
      <c r="M19" s="31"/>
      <c r="N19" s="36"/>
      <c r="O19" s="36"/>
      <c r="P19" s="36"/>
      <c r="Q19" s="36"/>
      <c r="R19" s="132"/>
      <c r="S19" s="31"/>
      <c r="T19" s="36"/>
      <c r="U19" s="36"/>
      <c r="V19" s="36"/>
      <c r="W19" s="36"/>
      <c r="X19" s="132"/>
      <c r="Y19" s="31"/>
      <c r="Z19" s="36"/>
      <c r="AA19" s="1"/>
      <c r="AB19" s="36"/>
      <c r="AC19" s="36"/>
      <c r="AD19" s="132"/>
      <c r="AE19" s="58"/>
      <c r="AF19" s="36"/>
      <c r="AG19" s="36"/>
      <c r="AH19" s="36"/>
      <c r="AI19" s="36"/>
      <c r="AJ19" s="132"/>
    </row>
    <row r="20" spans="1:45">
      <c r="A20" s="40"/>
      <c r="B20" s="41"/>
      <c r="C20" s="41"/>
      <c r="D20" s="41"/>
      <c r="E20" s="41"/>
      <c r="F20" s="136"/>
      <c r="G20" s="40"/>
      <c r="H20" s="41"/>
      <c r="I20" s="41"/>
      <c r="J20" s="41"/>
      <c r="K20" s="41"/>
      <c r="L20" s="136"/>
      <c r="M20" s="40"/>
      <c r="N20" s="41"/>
      <c r="O20" s="41"/>
      <c r="P20" s="41"/>
      <c r="Q20" s="41"/>
      <c r="R20" s="136"/>
      <c r="S20" s="112"/>
      <c r="T20" s="91"/>
      <c r="U20" s="91"/>
      <c r="V20" s="91"/>
      <c r="W20" s="91"/>
      <c r="X20" s="108"/>
      <c r="Y20" s="40"/>
      <c r="Z20" s="41"/>
      <c r="AA20" s="41"/>
      <c r="AB20" s="41"/>
      <c r="AC20" s="41"/>
      <c r="AD20" s="136"/>
      <c r="AE20" s="153"/>
      <c r="AF20" s="41"/>
      <c r="AG20" s="41"/>
      <c r="AH20" s="41"/>
      <c r="AI20" s="41"/>
      <c r="AJ20" s="136"/>
    </row>
    <row r="21" spans="1:45">
      <c r="A21" s="29"/>
      <c r="B21" s="35"/>
      <c r="C21" s="42">
        <f>SUM(C6:C20)</f>
        <v>0</v>
      </c>
      <c r="D21" s="35"/>
      <c r="E21" s="35"/>
      <c r="F21" s="44"/>
      <c r="G21" s="29"/>
      <c r="H21" s="35"/>
      <c r="I21" s="137">
        <f>SUM(I6:I20)</f>
        <v>0</v>
      </c>
      <c r="J21" s="35"/>
      <c r="K21" s="35"/>
      <c r="L21" s="44"/>
      <c r="M21" s="29"/>
      <c r="N21" s="35"/>
      <c r="O21" s="42">
        <f>SUM(O6:O20)</f>
        <v>0</v>
      </c>
      <c r="P21" s="35"/>
      <c r="Q21" s="35"/>
      <c r="R21" s="44"/>
      <c r="S21" s="29"/>
      <c r="T21" s="43"/>
      <c r="U21" s="137">
        <f>SUM(U6:U20)</f>
        <v>0</v>
      </c>
      <c r="V21" s="35"/>
      <c r="W21" s="35"/>
      <c r="X21" s="44"/>
      <c r="Y21" s="29"/>
      <c r="Z21" s="35"/>
      <c r="AA21" s="103">
        <f>SUM(AA6:AA20)</f>
        <v>0</v>
      </c>
      <c r="AB21" s="35"/>
      <c r="AC21" s="35"/>
      <c r="AD21" s="44"/>
      <c r="AE21" s="29"/>
      <c r="AF21" s="35"/>
      <c r="AG21" s="154">
        <f>SUM(AG6:AG20)</f>
        <v>0</v>
      </c>
      <c r="AH21" s="35"/>
      <c r="AI21" s="35"/>
      <c r="AJ21" s="44"/>
      <c r="AL21" s="115">
        <f>SUM(C21:AK21)</f>
        <v>0</v>
      </c>
      <c r="AM21" s="35"/>
      <c r="AN21" s="35"/>
      <c r="AO21" s="35"/>
      <c r="AP21" s="35"/>
      <c r="AQ21" s="35"/>
      <c r="AR21" s="35"/>
      <c r="AS21" s="35"/>
    </row>
    <row r="22" spans="1:45">
      <c r="C22" s="35">
        <f>C21*3%</f>
        <v>0</v>
      </c>
      <c r="I22" s="35">
        <f>I21*3%</f>
        <v>0</v>
      </c>
      <c r="O22" s="35">
        <f>O21*3%</f>
        <v>0</v>
      </c>
      <c r="U22" s="35">
        <f>U21*3%</f>
        <v>0</v>
      </c>
      <c r="AA22" s="35">
        <f>AA21*3%</f>
        <v>0</v>
      </c>
      <c r="AG22" s="35">
        <f>AG21*3%</f>
        <v>0</v>
      </c>
      <c r="AL22" s="115"/>
      <c r="AM22" s="35"/>
      <c r="AN22" s="35"/>
      <c r="AO22" s="35"/>
      <c r="AP22" s="35"/>
      <c r="AQ22" s="35"/>
      <c r="AR22" s="35"/>
      <c r="AS22" s="35"/>
    </row>
    <row r="23" spans="1:45">
      <c r="C23" s="35"/>
      <c r="F23" s="176"/>
      <c r="H23" s="35" t="s">
        <v>53</v>
      </c>
      <c r="I23" s="35">
        <f>SUM(I9)</f>
        <v>0</v>
      </c>
      <c r="J23" s="120">
        <f>I22+I24</f>
        <v>0</v>
      </c>
      <c r="N23" s="35" t="s">
        <v>53</v>
      </c>
      <c r="O23" s="35">
        <f>SUM(O6:O8)</f>
        <v>0</v>
      </c>
      <c r="P23" s="120">
        <f>O22+O24</f>
        <v>0</v>
      </c>
      <c r="U23" s="35"/>
      <c r="Z23" s="35" t="s">
        <v>53</v>
      </c>
      <c r="AA23" s="45">
        <f>SUM(AA6:AA12)</f>
        <v>0</v>
      </c>
      <c r="AB23" s="120">
        <f>AA22+AA24</f>
        <v>0</v>
      </c>
      <c r="AG23" s="109" t="s">
        <v>58</v>
      </c>
      <c r="AH23" s="176">
        <f>AG22+AG24</f>
        <v>0</v>
      </c>
      <c r="AL23" s="115"/>
      <c r="AM23" s="35"/>
      <c r="AN23" s="35"/>
      <c r="AO23" s="35"/>
      <c r="AP23" s="35"/>
      <c r="AQ23" s="35"/>
      <c r="AR23" s="35"/>
      <c r="AS23" s="35"/>
    </row>
    <row r="24" spans="1:45">
      <c r="C24" s="35"/>
      <c r="H24" s="35" t="s">
        <v>54</v>
      </c>
      <c r="I24" s="35">
        <f>I23*1.5%</f>
        <v>0</v>
      </c>
      <c r="N24" s="35" t="s">
        <v>54</v>
      </c>
      <c r="O24" s="35">
        <f>O23*1.5%</f>
        <v>0</v>
      </c>
      <c r="U24" s="35"/>
      <c r="Z24" s="35" t="s">
        <v>54</v>
      </c>
      <c r="AA24" s="35">
        <f>AA23*1.3%</f>
        <v>0</v>
      </c>
      <c r="AG24" s="109">
        <f>SUM(AG12:AG13)*1%</f>
        <v>0</v>
      </c>
      <c r="AL24" s="115"/>
      <c r="AM24" s="35"/>
      <c r="AN24" s="35"/>
      <c r="AO24" s="35"/>
      <c r="AP24" s="35"/>
      <c r="AQ24" s="35"/>
      <c r="AR24" s="35"/>
      <c r="AS24" s="35"/>
    </row>
    <row r="25" spans="1:45" ht="17.5" thickBot="1">
      <c r="A25" s="48" t="s">
        <v>26</v>
      </c>
      <c r="B25" s="49"/>
      <c r="C25" s="49"/>
      <c r="D25" s="49"/>
      <c r="E25" s="49"/>
      <c r="F25" s="50"/>
      <c r="G25" s="48" t="s">
        <v>27</v>
      </c>
      <c r="H25" s="49"/>
      <c r="I25" s="49"/>
      <c r="J25" s="49"/>
      <c r="K25" s="49"/>
      <c r="L25" s="50"/>
      <c r="M25" s="155" t="s">
        <v>28</v>
      </c>
      <c r="N25" s="54"/>
      <c r="O25" s="54"/>
      <c r="P25" s="54"/>
      <c r="Q25" s="54"/>
      <c r="R25" s="55"/>
      <c r="S25" s="48" t="s">
        <v>29</v>
      </c>
      <c r="T25" s="49"/>
      <c r="U25" s="49"/>
      <c r="V25" s="49"/>
      <c r="W25" s="49"/>
      <c r="X25" s="50"/>
      <c r="Y25" s="48" t="s">
        <v>30</v>
      </c>
      <c r="Z25" s="49"/>
      <c r="AA25" s="49"/>
      <c r="AB25" s="49"/>
      <c r="AC25" s="49"/>
      <c r="AD25" s="50"/>
      <c r="AE25" s="48" t="s">
        <v>31</v>
      </c>
      <c r="AF25" s="49"/>
      <c r="AG25" s="49"/>
      <c r="AH25" s="49"/>
      <c r="AI25" s="49"/>
      <c r="AJ25" s="50"/>
      <c r="AM25" s="35"/>
      <c r="AN25" s="35"/>
      <c r="AO25" s="35"/>
      <c r="AP25" s="35"/>
      <c r="AQ25" s="35"/>
      <c r="AR25" s="35"/>
      <c r="AS25" s="35"/>
    </row>
    <row r="26" spans="1:45" ht="17.5" thickBot="1">
      <c r="A26" s="138" t="s">
        <v>22</v>
      </c>
      <c r="B26" s="52" t="s">
        <v>1</v>
      </c>
      <c r="C26" s="52" t="s">
        <v>2</v>
      </c>
      <c r="D26" s="52" t="s">
        <v>23</v>
      </c>
      <c r="E26" s="52" t="s">
        <v>24</v>
      </c>
      <c r="F26" s="131" t="s">
        <v>25</v>
      </c>
      <c r="G26" s="129" t="s">
        <v>22</v>
      </c>
      <c r="H26" s="110" t="s">
        <v>1</v>
      </c>
      <c r="I26" s="110" t="s">
        <v>2</v>
      </c>
      <c r="J26" s="49" t="s">
        <v>23</v>
      </c>
      <c r="K26" s="110" t="s">
        <v>24</v>
      </c>
      <c r="L26" s="147" t="s">
        <v>25</v>
      </c>
      <c r="M26" s="129" t="s">
        <v>22</v>
      </c>
      <c r="N26" s="49" t="s">
        <v>1</v>
      </c>
      <c r="O26" s="110" t="s">
        <v>2</v>
      </c>
      <c r="P26" s="49" t="s">
        <v>23</v>
      </c>
      <c r="Q26" s="110" t="s">
        <v>24</v>
      </c>
      <c r="R26" s="130" t="s">
        <v>25</v>
      </c>
      <c r="S26" s="56" t="s">
        <v>22</v>
      </c>
      <c r="T26" s="57" t="s">
        <v>1</v>
      </c>
      <c r="U26" s="57" t="s">
        <v>2</v>
      </c>
      <c r="V26" s="57" t="s">
        <v>23</v>
      </c>
      <c r="W26" s="57" t="s">
        <v>24</v>
      </c>
      <c r="X26" s="139" t="s">
        <v>25</v>
      </c>
      <c r="Y26" s="59" t="s">
        <v>22</v>
      </c>
      <c r="Z26" s="49" t="s">
        <v>1</v>
      </c>
      <c r="AA26" s="49" t="s">
        <v>2</v>
      </c>
      <c r="AB26" s="49" t="s">
        <v>23</v>
      </c>
      <c r="AC26" s="49" t="s">
        <v>24</v>
      </c>
      <c r="AD26" s="141" t="s">
        <v>25</v>
      </c>
      <c r="AE26" s="59" t="s">
        <v>22</v>
      </c>
      <c r="AF26" s="49" t="s">
        <v>1</v>
      </c>
      <c r="AG26" s="49" t="s">
        <v>2</v>
      </c>
      <c r="AH26" s="49" t="s">
        <v>23</v>
      </c>
      <c r="AI26" s="49" t="s">
        <v>24</v>
      </c>
      <c r="AJ26" s="141" t="s">
        <v>25</v>
      </c>
      <c r="AM26" s="35"/>
      <c r="AN26" s="35"/>
      <c r="AO26" s="35"/>
      <c r="AP26" s="35"/>
      <c r="AQ26" s="35"/>
      <c r="AR26" s="35"/>
      <c r="AS26" s="35"/>
    </row>
    <row r="27" spans="1:45">
      <c r="A27" s="197">
        <v>45854</v>
      </c>
      <c r="B27" s="182" t="s">
        <v>62</v>
      </c>
      <c r="C27" s="182">
        <v>50</v>
      </c>
      <c r="D27" s="182"/>
      <c r="E27" s="198" t="s">
        <v>13</v>
      </c>
      <c r="F27" s="184">
        <v>24</v>
      </c>
      <c r="G27" s="296">
        <v>45889</v>
      </c>
      <c r="H27" s="297" t="s">
        <v>125</v>
      </c>
      <c r="I27" s="298">
        <v>50</v>
      </c>
      <c r="J27" s="39" t="s">
        <v>69</v>
      </c>
      <c r="K27" s="168"/>
      <c r="L27" s="62">
        <v>7.2</v>
      </c>
      <c r="M27" s="170">
        <v>45917</v>
      </c>
      <c r="N27" s="39" t="s">
        <v>134</v>
      </c>
      <c r="O27" s="298">
        <v>50</v>
      </c>
      <c r="P27" s="39" t="s">
        <v>69</v>
      </c>
      <c r="Q27" s="168"/>
      <c r="R27" s="62">
        <v>7.2</v>
      </c>
      <c r="S27" s="86"/>
      <c r="T27" s="110"/>
      <c r="U27" s="175"/>
      <c r="V27" s="175"/>
      <c r="W27" s="61"/>
      <c r="X27" s="62"/>
      <c r="Y27" s="142"/>
      <c r="Z27" s="180"/>
      <c r="AA27" s="181"/>
      <c r="AB27" s="144"/>
      <c r="AC27" s="61"/>
      <c r="AD27" s="143"/>
      <c r="AE27" s="34"/>
      <c r="AF27" s="39"/>
      <c r="AG27" s="104"/>
      <c r="AH27" s="39"/>
      <c r="AI27" s="39"/>
      <c r="AJ27" s="218"/>
    </row>
    <row r="28" spans="1:45">
      <c r="B28" s="46"/>
      <c r="C28" s="46"/>
      <c r="D28" s="46"/>
      <c r="E28" s="46"/>
      <c r="G28" s="183">
        <v>45889</v>
      </c>
      <c r="H28" s="238" t="s">
        <v>125</v>
      </c>
      <c r="I28" s="223">
        <v>50</v>
      </c>
      <c r="J28" s="182"/>
      <c r="K28" s="198" t="s">
        <v>13</v>
      </c>
      <c r="L28" s="184">
        <v>24</v>
      </c>
      <c r="M28" s="79"/>
      <c r="N28" s="102"/>
      <c r="O28" s="148"/>
      <c r="P28" s="102"/>
      <c r="Q28" s="102"/>
      <c r="R28" s="173"/>
      <c r="S28" s="31"/>
      <c r="T28" s="1"/>
      <c r="U28" s="97"/>
      <c r="V28" s="97"/>
      <c r="W28" s="36"/>
      <c r="X28" s="37"/>
      <c r="Y28" s="165"/>
      <c r="Z28" s="177"/>
      <c r="AA28" s="164"/>
      <c r="AB28" s="163"/>
      <c r="AC28" s="178"/>
      <c r="AD28" s="179"/>
      <c r="AE28" s="150"/>
      <c r="AF28" s="38"/>
      <c r="AG28" s="194"/>
      <c r="AH28" s="36"/>
      <c r="AI28" s="39"/>
      <c r="AJ28" s="90"/>
    </row>
    <row r="29" spans="1:45">
      <c r="A29" s="31"/>
      <c r="B29" s="51"/>
      <c r="C29" s="36"/>
      <c r="D29" s="74"/>
      <c r="E29" s="36"/>
      <c r="F29" s="71"/>
      <c r="G29" s="31"/>
      <c r="H29" s="36"/>
      <c r="I29" s="96"/>
      <c r="J29" s="36"/>
      <c r="K29" s="96"/>
      <c r="L29" s="37"/>
      <c r="M29" s="79"/>
      <c r="N29" s="102"/>
      <c r="O29" s="102"/>
      <c r="P29" s="102"/>
      <c r="Q29" s="102"/>
      <c r="R29" s="173"/>
      <c r="S29" s="31"/>
      <c r="T29" s="1"/>
      <c r="U29" s="88"/>
      <c r="V29" s="88"/>
      <c r="W29" s="36"/>
      <c r="X29" s="37"/>
      <c r="Y29" s="159"/>
      <c r="Z29" s="160"/>
      <c r="AA29" s="161"/>
      <c r="AB29" s="161"/>
      <c r="AC29" s="157"/>
      <c r="AD29" s="162"/>
      <c r="AE29" s="150"/>
      <c r="AF29" s="51"/>
      <c r="AG29" s="105"/>
      <c r="AH29" s="36"/>
      <c r="AI29" s="36"/>
      <c r="AJ29" s="90"/>
    </row>
    <row r="30" spans="1:45">
      <c r="A30" s="31"/>
      <c r="B30" s="36"/>
      <c r="C30" s="97"/>
      <c r="D30" s="74"/>
      <c r="E30" s="36"/>
      <c r="F30" s="71"/>
      <c r="G30" s="169"/>
      <c r="H30" s="77"/>
      <c r="I30" s="149"/>
      <c r="J30" s="77"/>
      <c r="K30" s="77"/>
      <c r="L30" s="37"/>
      <c r="M30" s="31"/>
      <c r="N30" s="119"/>
      <c r="O30" s="36"/>
      <c r="P30" s="77"/>
      <c r="Q30" s="77"/>
      <c r="R30" s="174"/>
      <c r="S30" s="31"/>
      <c r="T30" s="36"/>
      <c r="U30" s="36"/>
      <c r="V30" s="36"/>
      <c r="W30" s="36"/>
      <c r="X30" s="132"/>
      <c r="Y30" s="34">
        <v>45973</v>
      </c>
      <c r="Z30" s="27" t="s">
        <v>49</v>
      </c>
      <c r="AA30" s="36">
        <v>50</v>
      </c>
      <c r="AB30" s="36" t="s">
        <v>12</v>
      </c>
      <c r="AC30" s="58"/>
      <c r="AD30" s="37">
        <v>7.2</v>
      </c>
      <c r="AE30" s="150"/>
      <c r="AF30" s="51"/>
      <c r="AG30" s="105"/>
      <c r="AH30" s="36"/>
      <c r="AI30" s="36"/>
      <c r="AJ30" s="90"/>
    </row>
    <row r="31" spans="1:45">
      <c r="A31" s="31"/>
      <c r="B31" s="36"/>
      <c r="C31" s="97"/>
      <c r="D31" s="74"/>
      <c r="E31" s="36"/>
      <c r="F31" s="71"/>
      <c r="G31" s="31"/>
      <c r="H31" s="93"/>
      <c r="I31" s="36"/>
      <c r="J31" s="87"/>
      <c r="K31" s="36"/>
      <c r="L31" s="37"/>
      <c r="M31" s="31"/>
      <c r="N31" s="36"/>
      <c r="O31" s="36"/>
      <c r="P31" s="36"/>
      <c r="Q31" s="77"/>
      <c r="R31" s="174"/>
      <c r="S31" s="186">
        <v>45952</v>
      </c>
      <c r="T31" s="27" t="s">
        <v>49</v>
      </c>
      <c r="U31" s="36">
        <v>100</v>
      </c>
      <c r="V31" s="36" t="s">
        <v>12</v>
      </c>
      <c r="W31" s="111"/>
      <c r="X31" s="37">
        <v>7.2</v>
      </c>
      <c r="Y31" s="159"/>
      <c r="Z31" s="158"/>
      <c r="AA31" s="158"/>
      <c r="AB31" s="163"/>
      <c r="AC31" s="157"/>
      <c r="AD31" s="162"/>
      <c r="AE31" s="58"/>
      <c r="AF31" s="36"/>
      <c r="AG31" s="105"/>
      <c r="AH31" s="36"/>
      <c r="AI31" s="36"/>
      <c r="AJ31" s="90"/>
      <c r="AM31" s="29"/>
      <c r="AN31" s="35"/>
      <c r="AO31" s="35"/>
      <c r="AP31" s="109"/>
      <c r="AQ31" s="35"/>
      <c r="AR31" s="109"/>
    </row>
    <row r="32" spans="1:45">
      <c r="A32" s="219"/>
      <c r="B32" s="77"/>
      <c r="C32" s="220"/>
      <c r="D32" s="77"/>
      <c r="E32" s="77"/>
      <c r="F32" s="221"/>
      <c r="G32" s="63"/>
      <c r="H32" s="39"/>
      <c r="I32" s="39"/>
      <c r="J32" s="87"/>
      <c r="K32" s="39"/>
      <c r="L32" s="134"/>
      <c r="M32" s="31"/>
      <c r="N32" s="36"/>
      <c r="O32" s="36"/>
      <c r="P32" s="51"/>
      <c r="Q32" s="36"/>
      <c r="R32" s="132"/>
      <c r="S32" s="31">
        <v>45959</v>
      </c>
      <c r="T32" s="27" t="s">
        <v>49</v>
      </c>
      <c r="U32" s="81">
        <v>30</v>
      </c>
      <c r="V32" s="67" t="s">
        <v>13</v>
      </c>
      <c r="W32" s="26"/>
      <c r="X32" s="99">
        <v>7.2</v>
      </c>
      <c r="Y32" s="159"/>
      <c r="Z32" s="157"/>
      <c r="AA32" s="157"/>
      <c r="AB32" s="157"/>
      <c r="AC32" s="157"/>
      <c r="AD32" s="162"/>
      <c r="AE32" s="58"/>
      <c r="AF32" s="36"/>
      <c r="AG32" s="105"/>
      <c r="AH32" s="36"/>
      <c r="AI32" s="36"/>
      <c r="AJ32" s="90"/>
      <c r="AM32" s="29"/>
      <c r="AN32" s="35"/>
      <c r="AO32" s="35"/>
      <c r="AP32" s="109"/>
      <c r="AQ32" s="35"/>
      <c r="AR32" s="109"/>
    </row>
    <row r="33" spans="1:44">
      <c r="A33" s="185">
        <v>45868</v>
      </c>
      <c r="B33" s="33" t="s">
        <v>49</v>
      </c>
      <c r="C33" s="51">
        <v>150</v>
      </c>
      <c r="D33" s="68" t="s">
        <v>12</v>
      </c>
      <c r="E33" s="121"/>
      <c r="F33" s="37">
        <v>7.2</v>
      </c>
      <c r="G33" s="31"/>
      <c r="H33" s="36"/>
      <c r="I33" s="36"/>
      <c r="J33" s="87"/>
      <c r="K33" s="36"/>
      <c r="L33" s="132"/>
      <c r="M33" s="31"/>
      <c r="N33" s="36"/>
      <c r="O33" s="36"/>
      <c r="P33" s="36"/>
      <c r="Q33" s="36"/>
      <c r="R33" s="132"/>
      <c r="S33" s="31">
        <v>45966</v>
      </c>
      <c r="T33" s="27" t="s">
        <v>49</v>
      </c>
      <c r="U33" s="36">
        <v>300</v>
      </c>
      <c r="V33" s="36" t="s">
        <v>12</v>
      </c>
      <c r="W33" s="26"/>
      <c r="X33" s="37">
        <v>7.2</v>
      </c>
      <c r="Y33" s="159"/>
      <c r="Z33" s="166"/>
      <c r="AA33" s="166"/>
      <c r="AB33" s="166"/>
      <c r="AC33" s="157"/>
      <c r="AD33" s="162"/>
      <c r="AE33" s="101"/>
      <c r="AF33" s="74"/>
      <c r="AG33" s="74"/>
      <c r="AH33" s="74"/>
      <c r="AI33" s="74"/>
      <c r="AJ33" s="216"/>
      <c r="AM33" s="29"/>
      <c r="AN33" s="89"/>
      <c r="AO33" s="35"/>
      <c r="AP33" s="109"/>
      <c r="AQ33" s="35"/>
      <c r="AR33" s="109"/>
    </row>
    <row r="34" spans="1:44">
      <c r="A34" s="169"/>
      <c r="B34" s="77"/>
      <c r="C34" s="220"/>
      <c r="D34" s="77"/>
      <c r="E34" s="77"/>
      <c r="F34" s="174"/>
      <c r="G34" s="31"/>
      <c r="H34" s="36"/>
      <c r="I34" s="36"/>
      <c r="J34" s="36"/>
      <c r="K34" s="36"/>
      <c r="L34" s="132"/>
      <c r="M34" s="31"/>
      <c r="N34" s="36"/>
      <c r="O34" s="36"/>
      <c r="P34" s="36"/>
      <c r="Q34" s="36"/>
      <c r="R34" s="132"/>
      <c r="S34" s="31"/>
      <c r="T34" s="36"/>
      <c r="U34" s="36"/>
      <c r="V34" s="87"/>
      <c r="W34" s="36"/>
      <c r="X34" s="151"/>
      <c r="Y34" s="159"/>
      <c r="Z34" s="157"/>
      <c r="AA34" s="158"/>
      <c r="AB34" s="167"/>
      <c r="AC34" s="157"/>
      <c r="AD34" s="162"/>
      <c r="AE34" s="101"/>
      <c r="AF34" s="74"/>
      <c r="AG34" s="74"/>
      <c r="AH34" s="74"/>
      <c r="AI34" s="36"/>
      <c r="AJ34" s="216"/>
      <c r="AM34" s="35"/>
      <c r="AN34" s="35"/>
      <c r="AO34" s="35"/>
      <c r="AP34" s="35"/>
      <c r="AQ34" s="35"/>
      <c r="AR34" s="35"/>
    </row>
    <row r="35" spans="1:44">
      <c r="A35" s="169"/>
      <c r="B35" s="222"/>
      <c r="C35" s="220"/>
      <c r="D35" s="77"/>
      <c r="E35" s="77"/>
      <c r="F35" s="221"/>
      <c r="G35" s="31"/>
      <c r="H35" s="36"/>
      <c r="I35" s="36"/>
      <c r="J35" s="36"/>
      <c r="K35" s="36"/>
      <c r="L35" s="132"/>
      <c r="M35" s="31"/>
      <c r="N35" s="36"/>
      <c r="O35" s="36"/>
      <c r="P35" s="36"/>
      <c r="Q35" s="36"/>
      <c r="R35" s="132"/>
      <c r="S35" s="31"/>
      <c r="T35" s="36"/>
      <c r="U35" s="36"/>
      <c r="V35" s="36"/>
      <c r="W35" s="36"/>
      <c r="X35" s="132"/>
      <c r="Y35" s="146"/>
      <c r="Z35" s="36"/>
      <c r="AA35" s="100"/>
      <c r="AB35" s="36"/>
      <c r="AC35" s="36"/>
      <c r="AD35" s="90"/>
      <c r="AE35" s="34"/>
      <c r="AF35" s="39"/>
      <c r="AG35" s="39"/>
      <c r="AH35" s="36"/>
      <c r="AI35" s="39"/>
      <c r="AJ35" s="90"/>
    </row>
    <row r="36" spans="1:44">
      <c r="A36" s="31"/>
      <c r="B36" s="51"/>
      <c r="C36" s="80"/>
      <c r="D36" s="67"/>
      <c r="E36" s="36"/>
      <c r="F36" s="37"/>
      <c r="G36" s="31"/>
      <c r="H36" s="36"/>
      <c r="I36" s="36"/>
      <c r="J36" s="36"/>
      <c r="K36" s="36"/>
      <c r="L36" s="132"/>
      <c r="M36" s="31"/>
      <c r="N36" s="36"/>
      <c r="O36" s="36"/>
      <c r="P36" s="36"/>
      <c r="Q36" s="36"/>
      <c r="R36" s="132"/>
      <c r="S36" s="31"/>
      <c r="T36" s="36"/>
      <c r="U36" s="36"/>
      <c r="V36" s="36"/>
      <c r="W36" s="36"/>
      <c r="X36" s="132"/>
      <c r="Y36" s="146"/>
      <c r="Z36" s="106"/>
      <c r="AA36" s="107"/>
      <c r="AB36" s="133"/>
      <c r="AC36" s="36"/>
      <c r="AD36" s="132"/>
      <c r="AE36" s="34"/>
      <c r="AF36" s="36"/>
      <c r="AG36" s="100"/>
      <c r="AH36" s="36"/>
      <c r="AI36" s="36"/>
      <c r="AJ36" s="90"/>
      <c r="AK36" s="109"/>
    </row>
    <row r="37" spans="1:44">
      <c r="A37" s="76"/>
      <c r="B37" s="36"/>
      <c r="C37" s="75"/>
      <c r="D37" s="75"/>
      <c r="E37" s="36"/>
      <c r="F37" s="37"/>
      <c r="G37" s="31"/>
      <c r="H37" s="36"/>
      <c r="I37" s="36"/>
      <c r="J37" s="36"/>
      <c r="K37" s="36"/>
      <c r="L37" s="132"/>
      <c r="M37" s="31"/>
      <c r="N37" s="36"/>
      <c r="O37" s="36"/>
      <c r="P37" s="36"/>
      <c r="Q37" s="36"/>
      <c r="R37" s="132"/>
      <c r="S37" s="31"/>
      <c r="T37" s="36"/>
      <c r="U37" s="36"/>
      <c r="V37" s="36"/>
      <c r="W37" s="36"/>
      <c r="X37" s="132"/>
      <c r="Y37" s="31"/>
      <c r="Z37" s="36"/>
      <c r="AA37" s="100"/>
      <c r="AB37" s="36"/>
      <c r="AC37" s="36"/>
      <c r="AD37" s="132"/>
      <c r="AE37" s="58"/>
      <c r="AF37" s="36"/>
      <c r="AG37" s="36"/>
      <c r="AH37" s="36"/>
      <c r="AI37" s="36"/>
      <c r="AJ37" s="132"/>
      <c r="AK37" s="35"/>
      <c r="AL37" s="35"/>
      <c r="AM37" s="35"/>
      <c r="AN37" s="35"/>
    </row>
    <row r="38" spans="1:44">
      <c r="A38" s="31"/>
      <c r="B38" s="36"/>
      <c r="C38" s="36"/>
      <c r="D38" s="36"/>
      <c r="E38" s="36"/>
      <c r="F38" s="132"/>
      <c r="G38" s="31"/>
      <c r="H38" s="1"/>
      <c r="I38" s="114"/>
      <c r="J38" s="135"/>
      <c r="K38" s="36"/>
      <c r="L38" s="37"/>
      <c r="M38" s="31"/>
      <c r="N38" s="36"/>
      <c r="O38" s="36"/>
      <c r="P38" s="36"/>
      <c r="Q38" s="36"/>
      <c r="R38" s="132"/>
      <c r="S38" s="31"/>
      <c r="T38" s="36"/>
      <c r="U38" s="36"/>
      <c r="V38" s="36"/>
      <c r="W38" s="36"/>
      <c r="X38" s="132"/>
      <c r="Y38" s="31"/>
      <c r="Z38" s="36"/>
      <c r="AA38" s="1"/>
      <c r="AB38" s="36"/>
      <c r="AC38" s="36"/>
      <c r="AD38" s="132"/>
      <c r="AE38" s="58"/>
      <c r="AF38" s="36"/>
      <c r="AG38" s="36"/>
      <c r="AH38" s="36"/>
      <c r="AI38" s="36"/>
      <c r="AJ38" s="132"/>
      <c r="AK38" s="35"/>
      <c r="AL38" s="35"/>
    </row>
    <row r="39" spans="1:44">
      <c r="A39" s="224">
        <v>45861</v>
      </c>
      <c r="B39" s="225" t="s">
        <v>55</v>
      </c>
      <c r="C39" s="226">
        <v>150</v>
      </c>
      <c r="D39" s="227" t="s">
        <v>50</v>
      </c>
      <c r="E39" s="226">
        <v>18</v>
      </c>
      <c r="F39" s="228" t="s">
        <v>70</v>
      </c>
      <c r="G39" s="31"/>
      <c r="H39" s="1"/>
      <c r="I39" s="114"/>
      <c r="J39" s="135"/>
      <c r="K39" s="36"/>
      <c r="L39" s="37"/>
      <c r="M39" s="31"/>
      <c r="N39" s="36"/>
      <c r="O39" s="36"/>
      <c r="P39" s="36"/>
      <c r="Q39" s="36"/>
      <c r="R39" s="132"/>
      <c r="S39" s="31"/>
      <c r="T39" s="36"/>
      <c r="U39" s="36"/>
      <c r="V39" s="36"/>
      <c r="W39" s="36"/>
      <c r="X39" s="132"/>
      <c r="Y39" s="31"/>
      <c r="Z39" s="36"/>
      <c r="AA39" s="1"/>
      <c r="AB39" s="36"/>
      <c r="AC39" s="36"/>
      <c r="AD39" s="132"/>
      <c r="AE39" s="58"/>
      <c r="AF39" s="36"/>
      <c r="AG39" s="36"/>
      <c r="AH39" s="36"/>
      <c r="AI39" s="36"/>
      <c r="AJ39" s="132"/>
    </row>
    <row r="40" spans="1:44">
      <c r="A40" s="31"/>
      <c r="B40" s="36"/>
      <c r="C40" s="36"/>
      <c r="D40" s="36"/>
      <c r="E40" s="36"/>
      <c r="F40" s="132"/>
      <c r="G40" s="31"/>
      <c r="H40" s="36"/>
      <c r="I40" s="152"/>
      <c r="J40" s="36"/>
      <c r="K40" s="36"/>
      <c r="L40" s="132"/>
      <c r="M40" s="31"/>
      <c r="N40" s="36"/>
      <c r="O40" s="36"/>
      <c r="P40" s="36"/>
      <c r="Q40" s="36"/>
      <c r="R40" s="132"/>
      <c r="S40" s="31"/>
      <c r="T40" s="36"/>
      <c r="U40" s="36"/>
      <c r="V40" s="36"/>
      <c r="W40" s="36"/>
      <c r="X40" s="132"/>
      <c r="Y40" s="31"/>
      <c r="Z40" s="36"/>
      <c r="AA40" s="1"/>
      <c r="AB40" s="36"/>
      <c r="AC40" s="36"/>
      <c r="AD40" s="132"/>
      <c r="AE40" s="58"/>
      <c r="AF40" s="36"/>
      <c r="AG40" s="36"/>
      <c r="AH40" s="36"/>
      <c r="AI40" s="36"/>
      <c r="AJ40" s="132"/>
    </row>
    <row r="41" spans="1:44">
      <c r="A41" s="40"/>
      <c r="B41" s="41"/>
      <c r="C41" s="41"/>
      <c r="D41" s="41"/>
      <c r="E41" s="41"/>
      <c r="F41" s="136"/>
      <c r="G41" s="40"/>
      <c r="H41" s="41"/>
      <c r="I41" s="41"/>
      <c r="J41" s="41"/>
      <c r="K41" s="41"/>
      <c r="L41" s="136"/>
      <c r="M41" s="40"/>
      <c r="N41" s="41"/>
      <c r="O41" s="41"/>
      <c r="P41" s="41"/>
      <c r="Q41" s="41"/>
      <c r="R41" s="136"/>
      <c r="S41" s="112"/>
      <c r="T41" s="91"/>
      <c r="U41" s="91"/>
      <c r="V41" s="91"/>
      <c r="W41" s="91"/>
      <c r="X41" s="108"/>
      <c r="Y41" s="40"/>
      <c r="Z41" s="41"/>
      <c r="AA41" s="41"/>
      <c r="AB41" s="41"/>
      <c r="AC41" s="41"/>
      <c r="AD41" s="136"/>
      <c r="AE41" s="153"/>
      <c r="AF41" s="41"/>
      <c r="AG41" s="41"/>
      <c r="AH41" s="41"/>
      <c r="AI41" s="41"/>
      <c r="AJ41" s="136"/>
    </row>
    <row r="42" spans="1:44">
      <c r="A42" s="29"/>
      <c r="B42" s="229">
        <f>SUM(C39)</f>
        <v>150</v>
      </c>
      <c r="C42" s="154">
        <f>SUM(C27:C33)</f>
        <v>200</v>
      </c>
      <c r="D42" s="35"/>
      <c r="E42" s="35"/>
      <c r="F42" s="44"/>
      <c r="G42" s="29"/>
      <c r="H42" s="35"/>
      <c r="I42" s="137">
        <f>SUM(I27:I41)</f>
        <v>100</v>
      </c>
      <c r="J42" s="35"/>
      <c r="K42" s="35"/>
      <c r="L42" s="44"/>
      <c r="M42" s="29"/>
      <c r="N42" s="35"/>
      <c r="O42" s="42">
        <f>SUM(O27:O41)</f>
        <v>50</v>
      </c>
      <c r="P42" s="35"/>
      <c r="Q42" s="35"/>
      <c r="R42" s="44"/>
      <c r="S42" s="29"/>
      <c r="T42" s="43"/>
      <c r="U42" s="137">
        <f>SUM(U27:U41)</f>
        <v>430</v>
      </c>
      <c r="V42" s="35"/>
      <c r="W42" s="35"/>
      <c r="X42" s="44"/>
      <c r="Y42" s="29"/>
      <c r="Z42" s="35"/>
      <c r="AA42" s="103">
        <f>SUM(AA27:AA41)</f>
        <v>50</v>
      </c>
      <c r="AB42" s="35"/>
      <c r="AC42" s="35"/>
      <c r="AD42" s="44"/>
      <c r="AE42" s="29"/>
      <c r="AF42" s="35"/>
      <c r="AG42" s="103">
        <f>SUM(AG27:AG41)</f>
        <v>0</v>
      </c>
      <c r="AH42" s="35"/>
      <c r="AI42" s="35"/>
      <c r="AJ42" s="44"/>
      <c r="AK42" s="29"/>
      <c r="AL42" s="47">
        <f>SUM(A42:AK42)</f>
        <v>980</v>
      </c>
    </row>
    <row r="43" spans="1:44">
      <c r="B43">
        <f>B42*2.4%</f>
        <v>3.6</v>
      </c>
      <c r="C43" s="35">
        <f>C42*1%</f>
        <v>2</v>
      </c>
      <c r="I43" s="35">
        <f>(I42*3%)</f>
        <v>3</v>
      </c>
      <c r="O43" s="35">
        <f>O42*1%</f>
        <v>0.5</v>
      </c>
      <c r="U43" s="35">
        <f>U42*1%</f>
        <v>4.3</v>
      </c>
      <c r="AA43" s="35">
        <f>AA42*1%</f>
        <v>0.5</v>
      </c>
      <c r="AG43" s="35">
        <f>AG42*3%</f>
        <v>0</v>
      </c>
    </row>
    <row r="44" spans="1:44">
      <c r="C44" s="109" t="s">
        <v>58</v>
      </c>
      <c r="D44" s="120">
        <f>C43+C45</f>
        <v>2.5</v>
      </c>
      <c r="H44" s="35"/>
      <c r="I44" s="109" t="s">
        <v>58</v>
      </c>
      <c r="J44" s="120">
        <f>I43+I45</f>
        <v>4</v>
      </c>
      <c r="T44" s="35"/>
      <c r="U44" s="84"/>
    </row>
    <row r="45" spans="1:44">
      <c r="C45" s="109">
        <f>SUM(C27)*1%</f>
        <v>0.5</v>
      </c>
      <c r="I45" s="109">
        <f>SUM(I27:I28)*1%</f>
        <v>1</v>
      </c>
      <c r="T45" s="35"/>
      <c r="U45" s="35"/>
    </row>
    <row r="47" spans="1:44">
      <c r="AA47" s="45"/>
    </row>
    <row r="49" spans="2:34">
      <c r="B49" s="92"/>
    </row>
    <row r="52" spans="2:34">
      <c r="AG52" s="116"/>
      <c r="AH52" s="64"/>
    </row>
    <row r="53" spans="2:34">
      <c r="AG53" s="116"/>
      <c r="AH53" s="64"/>
    </row>
    <row r="54" spans="2:34">
      <c r="AG54" s="64"/>
      <c r="AH54" s="64"/>
    </row>
    <row r="55" spans="2:34">
      <c r="AG55" s="64"/>
      <c r="AH55" s="64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9"/>
  <sheetViews>
    <sheetView workbookViewId="0"/>
  </sheetViews>
  <sheetFormatPr defaultColWidth="10.6328125" defaultRowHeight="17"/>
  <sheetData>
    <row r="1" spans="1:10">
      <c r="A1" s="3" t="s">
        <v>1</v>
      </c>
      <c r="B1" s="3" t="s">
        <v>2</v>
      </c>
      <c r="C1" s="4" t="s">
        <v>4</v>
      </c>
      <c r="D1" s="4" t="s">
        <v>5</v>
      </c>
      <c r="E1" s="5" t="s">
        <v>6</v>
      </c>
      <c r="F1" s="5" t="s">
        <v>7</v>
      </c>
      <c r="G1" s="5" t="s">
        <v>8</v>
      </c>
      <c r="H1" s="6" t="s">
        <v>9</v>
      </c>
      <c r="I1" s="6" t="s">
        <v>10</v>
      </c>
      <c r="J1" s="6" t="s">
        <v>11</v>
      </c>
    </row>
    <row r="2" spans="1:10">
      <c r="A2" s="9" t="s">
        <v>48</v>
      </c>
      <c r="B2" s="10">
        <v>300</v>
      </c>
      <c r="C2" s="7">
        <v>44678</v>
      </c>
      <c r="D2" s="8">
        <v>44861</v>
      </c>
      <c r="E2" s="19">
        <v>44708</v>
      </c>
      <c r="F2" s="16">
        <v>44739</v>
      </c>
      <c r="G2" s="16">
        <v>44769</v>
      </c>
      <c r="H2" s="16">
        <v>44800</v>
      </c>
      <c r="I2" s="16">
        <v>44831</v>
      </c>
      <c r="J2" s="16">
        <v>44861</v>
      </c>
    </row>
    <row r="3" spans="1:10">
      <c r="A3" s="9" t="s">
        <v>41</v>
      </c>
      <c r="B3" s="10">
        <v>200</v>
      </c>
      <c r="C3" s="11">
        <v>44615</v>
      </c>
      <c r="D3" s="12">
        <v>44796</v>
      </c>
      <c r="E3" s="13">
        <v>44643</v>
      </c>
      <c r="F3" s="19">
        <v>44674</v>
      </c>
      <c r="G3" s="13">
        <v>44704</v>
      </c>
      <c r="H3" s="17">
        <v>44735</v>
      </c>
      <c r="I3" s="15">
        <v>44765</v>
      </c>
      <c r="J3" s="18">
        <v>44796</v>
      </c>
    </row>
    <row r="4" spans="1:10">
      <c r="A4" s="9" t="s">
        <v>42</v>
      </c>
      <c r="B4" s="10">
        <v>60</v>
      </c>
      <c r="C4" s="23">
        <v>44657</v>
      </c>
      <c r="D4" s="24">
        <v>44840</v>
      </c>
      <c r="E4" s="13">
        <v>44687</v>
      </c>
      <c r="F4" s="21">
        <v>44718</v>
      </c>
      <c r="G4" s="15">
        <v>44748</v>
      </c>
      <c r="H4" s="20">
        <v>44779</v>
      </c>
      <c r="I4" s="15">
        <v>44810</v>
      </c>
      <c r="J4" s="20">
        <v>44840</v>
      </c>
    </row>
    <row r="5" spans="1:10">
      <c r="A5" s="9" t="s">
        <v>43</v>
      </c>
      <c r="B5" s="10">
        <v>40</v>
      </c>
      <c r="C5" s="23">
        <v>44552</v>
      </c>
      <c r="D5" s="24">
        <v>44734</v>
      </c>
      <c r="E5" s="13">
        <v>44583</v>
      </c>
      <c r="F5" s="21">
        <v>44614</v>
      </c>
      <c r="G5" s="13">
        <v>44642</v>
      </c>
      <c r="H5" s="21">
        <v>44673</v>
      </c>
      <c r="I5" s="13">
        <v>44703</v>
      </c>
      <c r="J5" s="22">
        <v>44734</v>
      </c>
    </row>
    <row r="6" spans="1:10">
      <c r="A6" s="9" t="s">
        <v>44</v>
      </c>
      <c r="B6" s="10">
        <v>150</v>
      </c>
      <c r="C6" s="7">
        <v>44573</v>
      </c>
      <c r="D6" s="8">
        <v>44754</v>
      </c>
      <c r="E6" s="19">
        <v>44604</v>
      </c>
      <c r="F6" s="19">
        <v>44632</v>
      </c>
      <c r="G6" s="19">
        <v>44663</v>
      </c>
      <c r="H6" s="19">
        <v>44693</v>
      </c>
      <c r="I6" s="19">
        <v>44724</v>
      </c>
      <c r="J6" s="18">
        <v>44754</v>
      </c>
    </row>
    <row r="7" spans="1:10">
      <c r="A7" s="9" t="s">
        <v>45</v>
      </c>
      <c r="B7" s="10">
        <v>60</v>
      </c>
      <c r="C7" s="11">
        <v>44706</v>
      </c>
      <c r="D7" s="12">
        <v>44890</v>
      </c>
      <c r="E7" s="14">
        <v>44737</v>
      </c>
      <c r="F7" s="25">
        <v>44767</v>
      </c>
      <c r="G7" s="25">
        <v>44798</v>
      </c>
      <c r="H7" s="25">
        <v>44829</v>
      </c>
      <c r="I7" s="25">
        <v>44859</v>
      </c>
      <c r="J7" s="25">
        <v>44890</v>
      </c>
    </row>
    <row r="8" spans="1:10">
      <c r="A8" s="9" t="s">
        <v>46</v>
      </c>
      <c r="B8" s="10">
        <v>40</v>
      </c>
      <c r="C8" s="23">
        <v>44552</v>
      </c>
      <c r="D8" s="24">
        <v>44734</v>
      </c>
      <c r="E8" s="13">
        <v>44583</v>
      </c>
      <c r="F8" s="21">
        <v>44614</v>
      </c>
      <c r="G8" s="13">
        <v>44642</v>
      </c>
      <c r="H8" s="21">
        <v>44673</v>
      </c>
      <c r="I8" s="13">
        <v>44703</v>
      </c>
      <c r="J8" s="22">
        <v>44734</v>
      </c>
    </row>
    <row r="9" spans="1:10">
      <c r="A9" s="9" t="s">
        <v>47</v>
      </c>
      <c r="B9" s="10">
        <v>150</v>
      </c>
      <c r="C9" s="7">
        <v>44573</v>
      </c>
      <c r="D9" s="8">
        <v>44754</v>
      </c>
      <c r="E9" s="19">
        <v>44604</v>
      </c>
      <c r="F9" s="19">
        <v>44632</v>
      </c>
      <c r="G9" s="19">
        <v>44663</v>
      </c>
      <c r="H9" s="19">
        <v>44693</v>
      </c>
      <c r="I9" s="19">
        <v>44724</v>
      </c>
      <c r="J9" s="18">
        <v>44754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書弦總表</vt:lpstr>
      <vt:lpstr>書弦對帳表</vt:lpstr>
      <vt:lpstr>書弦</vt:lpstr>
      <vt:lpstr>工作表1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Tang</dc:creator>
  <cp:lastModifiedBy>User</cp:lastModifiedBy>
  <dcterms:created xsi:type="dcterms:W3CDTF">2019-03-15T10:09:18Z</dcterms:created>
  <dcterms:modified xsi:type="dcterms:W3CDTF">2025-12-10T13:15:05Z</dcterms:modified>
</cp:coreProperties>
</file>